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Overview" sheetId="1" r:id="rId5"/>
    <sheet state="visible" name="Mesfins Account" sheetId="2" r:id="rId6"/>
    <sheet state="visible" name="Zewdneshs Account" sheetId="3" r:id="rId7"/>
    <sheet state="visible" name="Groceries" sheetId="4" r:id="rId8"/>
  </sheets>
  <definedNames/>
  <calcPr/>
</workbook>
</file>

<file path=xl/sharedStrings.xml><?xml version="1.0" encoding="utf-8"?>
<sst xmlns="http://schemas.openxmlformats.org/spreadsheetml/2006/main" count="302" uniqueCount="172">
  <si>
    <t>የመስፍን ተቀማጭ / Mesfin's Account</t>
  </si>
  <si>
    <t>አስቤዛ / Groceries</t>
  </si>
  <si>
    <t>የዘውድነሽ ተቀማጭ / Zewdnesh's Account</t>
  </si>
  <si>
    <t>Monthly Overview &amp; 12-Month Financial Matrix / ወርሃዊ መዋጮ እና ዓመታዊ ማጠቃለያ (2019 E.C.)</t>
  </si>
  <si>
    <t>የተቀማጭ ታሪክ፣ ዝርዝር ግብይቶች እና የሂሳብ መዝገብ / Deposit history, itemized transactions, and running balance ledger</t>
  </si>
  <si>
    <t>5L ዘይት / Cooking Oil (5L)</t>
  </si>
  <si>
    <t>የመጀመሪያ ተቀማጭ / Initial Deposit</t>
  </si>
  <si>
    <t>ጨው / Salt</t>
  </si>
  <si>
    <t>የተቀማጭ ታሪክ / Monthly Deposits</t>
  </si>
  <si>
    <t>ስኳር / Sugar</t>
  </si>
  <si>
    <t>የጎደለ ገንዘብ / Missing Money</t>
  </si>
  <si>
    <t>ድፍን ምስር / Whole Brown Lentils</t>
  </si>
  <si>
    <t>ክክ ምስር / Split Red Lentils</t>
  </si>
  <si>
    <t>የ2019 ዓ.ም. የፋይናንስ ትንተና • Fiscal Year 2019 Portfolio Analysis • Addis Ababa Units &amp; Hawassa Properties (አዲስ አበባ እና ሐዋሳ) • Amounts in ETB (Birr) / መጠኖች በብር</t>
  </si>
  <si>
    <t>አተር / Split Peas</t>
  </si>
  <si>
    <t>የመሬት ግብር / Land Tax</t>
  </si>
  <si>
    <t>የበርበሬ / Pepper (Berbere)</t>
  </si>
  <si>
    <t>የሂሳብ መዝገብ / Running Balance Ledger</t>
  </si>
  <si>
    <t>ድንች / Potatoes</t>
  </si>
  <si>
    <t>ጋሻው / Gashaw</t>
  </si>
  <si>
    <t>ሩዝ / Rice</t>
  </si>
  <si>
    <t>ፓስታ / Pasta</t>
  </si>
  <si>
    <t>በሬ የደመቅ / Demeq's Ox</t>
  </si>
  <si>
    <t>መኮረኒ / Macaroni</t>
  </si>
  <si>
    <t>ሻይ ቅጠል / Tea Leaves</t>
  </si>
  <si>
    <t>ብድር እና እቁብ / Loan &amp; Equb</t>
  </si>
  <si>
    <t>ነጭ ሽንኩርት / Garlic</t>
  </si>
  <si>
    <t>ቀይ ሽንኩርት / Red Onions</t>
  </si>
  <si>
    <t>ወር / ዝርዝር (Month / Item)</t>
  </si>
  <si>
    <t>ቀይ ስር / Beetroot</t>
  </si>
  <si>
    <t>ሽንት ቤት እና ግብር የአከራይ ተከራይ / Toilet &amp; Rental Tax</t>
  </si>
  <si>
    <t>ካሮት / Carrots</t>
  </si>
  <si>
    <t>ጥቅል ጎመን / Cabbage</t>
  </si>
  <si>
    <t>ዱቄት / Flour</t>
  </si>
  <si>
    <t>ገብርኤል / Gabriel (Church Contribution)</t>
  </si>
  <si>
    <t>ማዳበሪያ / Fertilizer</t>
  </si>
  <si>
    <t>ቲማቲም / Tomatoes</t>
  </si>
  <si>
    <t>ድምር / Total</t>
  </si>
  <si>
    <t>ANNUAL KPIS / ማጠቃለያ</t>
  </si>
  <si>
    <t>ቀሪ ሂሳብ / Remaining Balance</t>
  </si>
  <si>
    <t>Total Income / ጠቅላላ ገቢ</t>
  </si>
  <si>
    <t>መጠን / Amount</t>
  </si>
  <si>
    <t>አዎንታዊ = ገቢ፣ አሉታዊ = ወጪ / Positive = money in, negative = money out.</t>
  </si>
  <si>
    <t>Total Expenses / ጠቅላላ ወጪ</t>
  </si>
  <si>
    <t>Mesfin Net / የመስፍን ድርሻ</t>
  </si>
  <si>
    <t>ሀምሌ 2018 / Hamle 2018</t>
  </si>
  <si>
    <t>Zewdnesh Net / የዘውድነሽ ድርሻ</t>
  </si>
  <si>
    <t>ወር / Month</t>
  </si>
  <si>
    <t>መግለጫ / Description</t>
  </si>
  <si>
    <t>Annual Net / የተጣራ ዓመታዊ</t>
  </si>
  <si>
    <t>ቀሪ ሂሳብ / Balance</t>
  </si>
  <si>
    <t>ነሀሴ 2018 / Nehase 2018</t>
  </si>
  <si>
    <t>Audit Status / ሁኔታ</t>
  </si>
  <si>
    <t>የሀምሌ 2018 ተቀማጭ / Hamle 2018 deposit</t>
  </si>
  <si>
    <t>ብር ወስዷል (ዳሽን) / Money Taken (Dashen)</t>
  </si>
  <si>
    <t>የነሀሴ 2018 ተቀማጭ / Nehase 2018 deposit</t>
  </si>
  <si>
    <t>ሽንት ቤት / Toilet (Mesfin's share)</t>
  </si>
  <si>
    <t>—</t>
  </si>
  <si>
    <t>ብር ወስዷል (ዳሽን) / Money taken (Dashen)</t>
  </si>
  <si>
    <t>ግብር የአከራይ ተከራይ / Rental Tax (Mesfin's share)</t>
  </si>
  <si>
    <t>መስከረም 2019 / Meskerem 2019</t>
  </si>
  <si>
    <t>ግብር የአከራይ ተከራይ / Landlord-tenant tax (share)</t>
  </si>
  <si>
    <t>ጥቅምት 2019 / Tikimt 2019</t>
  </si>
  <si>
    <t>የመስከረም 2019 ተቀማጭ / Meskerem 2019 deposit</t>
  </si>
  <si>
    <t>2019 E.C. (12 Mo)</t>
  </si>
  <si>
    <t>የጥቅምት 2019 ተቀማጭ / Tikimt 2019 deposit</t>
  </si>
  <si>
    <t>ድምር / TOTAL</t>
  </si>
  <si>
    <t>RENTAL REVENUE &amp; TENANT CONTRIBUTIONS (ADDIS ABABA) / ወርሃዊ የቤት ኪራይ ገቢ (አዲስ አበባ)</t>
  </si>
  <si>
    <t>Sep 11 – Oct 10 (መስከረም)</t>
  </si>
  <si>
    <t>Oct 11 – Nov 9 (ጥቅምት)</t>
  </si>
  <si>
    <t>Nov 10 – Dec 9 (ኅዳር)</t>
  </si>
  <si>
    <t>Dec 10 – Jan 8 (ታኅሣሥ)</t>
  </si>
  <si>
    <t>Jan 9 – Feb 7 (ጥር)</t>
  </si>
  <si>
    <t>Feb 8 – Mar 9 (የካቲት)</t>
  </si>
  <si>
    <t>Mar 10 – Apr 8 (መጋቢት)</t>
  </si>
  <si>
    <t>Apr 9 – May 8 (ሚያዝያ)</t>
  </si>
  <si>
    <t>May 9 – Jun 7 (ግንቦት)</t>
  </si>
  <si>
    <t>Jun 8 – Jul 7 (ሰኔ)</t>
  </si>
  <si>
    <t>Jul 8 – Aug 6 (ሐምሌ)</t>
  </si>
  <si>
    <t>Aug 7 – Sep 5 (ነሐሴ)</t>
  </si>
  <si>
    <t>Annual Total / ዓመታዊ ድምር</t>
  </si>
  <si>
    <t>Property Category / ዘርፍ</t>
  </si>
  <si>
    <t>Unit / ተከራይ (አማርኛ)</t>
  </si>
  <si>
    <t>Tenant / Description (English)</t>
  </si>
  <si>
    <t>Owner Split / የክፍፍል ድርሻ</t>
  </si>
  <si>
    <t>Total / Input</t>
  </si>
  <si>
    <t>Mesfin (መስፍን)</t>
  </si>
  <si>
    <t>Zewdnesh (ዘውድነሽ)</t>
  </si>
  <si>
    <t>Annual Total</t>
  </si>
  <si>
    <t>Mesfin Annual</t>
  </si>
  <si>
    <t>Zewdnesh Annual</t>
  </si>
  <si>
    <t>መኖሪያ ቤት / Residential Unit</t>
  </si>
  <si>
    <t>በቀለ</t>
  </si>
  <si>
    <t>Bekele</t>
  </si>
  <si>
    <t>50% መስፍን / 50% ዘውድነሽ (50% Mesfin / 50% Zewdnesh)</t>
  </si>
  <si>
    <t>ልብነሽ</t>
  </si>
  <si>
    <t>Libnesh</t>
  </si>
  <si>
    <t>ጋዲሴ</t>
  </si>
  <si>
    <t>Gadise</t>
  </si>
  <si>
    <t>ደስታ</t>
  </si>
  <si>
    <t>Desta</t>
  </si>
  <si>
    <t>100% መስፍን (100% Mesfin)</t>
  </si>
  <si>
    <t>ገነት</t>
  </si>
  <si>
    <t>Genet</t>
  </si>
  <si>
    <t>ገዛህኝ</t>
  </si>
  <si>
    <t>Gezahegn</t>
  </si>
  <si>
    <t>ለምለም</t>
  </si>
  <si>
    <t>Lemlem</t>
  </si>
  <si>
    <t>100% ዘውድነሽ (100% Zewdnesh)</t>
  </si>
  <si>
    <t>አስረስ</t>
  </si>
  <si>
    <t>Asres</t>
  </si>
  <si>
    <t>ወይንሸት</t>
  </si>
  <si>
    <t>Weynshet</t>
  </si>
  <si>
    <t>100% ድምር / 100% Total</t>
  </si>
  <si>
    <t>Owner Split Allocation / የባለቤት ድርሻ</t>
  </si>
  <si>
    <t>መስፍን</t>
  </si>
  <si>
    <t>Mesfin Gross Income Share</t>
  </si>
  <si>
    <t>የአጋር ድርሻ / Partner Share</t>
  </si>
  <si>
    <t>ዘውድነሽ</t>
  </si>
  <si>
    <t>Zewdnesh Gross Income Share</t>
  </si>
  <si>
    <t>OPERATING EXPENSES &amp; FINANCING (ADDIS ABABA) / ወርሃዊ የስራ ማስኬጃ ወጪዎች</t>
  </si>
  <si>
    <t>Expense Category / ዘርፍ</t>
  </si>
  <si>
    <t>Expense Item / ወጪ (አማርኛ)</t>
  </si>
  <si>
    <t>Description / Line Item (English)</t>
  </si>
  <si>
    <t>Cost Allocation / የክፍፍል ድርሻ</t>
  </si>
  <si>
    <t>የስራ አገልግሎቶች / Operational Services</t>
  </si>
  <si>
    <t>ጥበቃ</t>
  </si>
  <si>
    <t>Security &amp; Guard</t>
  </si>
  <si>
    <t>መስፍን 100% / Mesfin 100% (-200)</t>
  </si>
  <si>
    <t>መሰረታዊ አገልግሎቶች / Utilities</t>
  </si>
  <si>
    <t>መብራት</t>
  </si>
  <si>
    <t>Electricity Bill</t>
  </si>
  <si>
    <t>መስፍን (-200) / ዘውድነሽ (-800) [Mesfin / Zewdnesh]</t>
  </si>
  <si>
    <t>ቁጠባና እቁብ / Savings &amp; Ekub</t>
  </si>
  <si>
    <t>እቁብ</t>
  </si>
  <si>
    <t>Equb (Savings Group)</t>
  </si>
  <si>
    <t>የጋራ / Shared (50-50)</t>
  </si>
  <si>
    <t>ማህበራዊ ዋስትና / Community Associations</t>
  </si>
  <si>
    <t>እድር</t>
  </si>
  <si>
    <t>Edir (Funeral Association / Credit)</t>
  </si>
  <si>
    <t>የዘውድነሽ ተቀማጭ / Zewdnesh Credit (+400)</t>
  </si>
  <si>
    <t>የቤት ወጪና አስቤዛ / Household &amp; Groceries</t>
  </si>
  <si>
    <t>አስቤዛ</t>
  </si>
  <si>
    <t>Groceries &amp; Supplies</t>
  </si>
  <si>
    <t>የጋራ / Shared</t>
  </si>
  <si>
    <t>ልዩ ልዩ / Miscellaneous</t>
  </si>
  <si>
    <t>ዝናሽ / Znash</t>
  </si>
  <si>
    <t>znashh (Special Allocation)</t>
  </si>
  <si>
    <t>የግል / Individual</t>
  </si>
  <si>
    <t>ጥገና እና ክብካቤ / Repairs &amp; Upkeep</t>
  </si>
  <si>
    <t>ጥገና</t>
  </si>
  <si>
    <t>Property Maintenance &amp; Upkeep</t>
  </si>
  <si>
    <t>Total Operating Expenses / ጠቅላላ ወርሃዊ ወጪ</t>
  </si>
  <si>
    <t>ጠቅላላ ወጪ / Total Expenses</t>
  </si>
  <si>
    <t>NET CASH FLOW &amp; PARTNER DISTRIBUTIONS / የተጣራ የገንዘብ እንቅስቃሴ እና የባለቤቶች ክፍፍል</t>
  </si>
  <si>
    <t>Portfolio Net Operating Income / የተጣራ ወርሃዊ ገቢ</t>
  </si>
  <si>
    <t>Net Cash Flow (Income + Expenses)</t>
  </si>
  <si>
    <t>ጠቅላላ የተጣራ / Total Net</t>
  </si>
  <si>
    <t>Mesfin Net Distribution / የመስፍን የተጣራ ድርሻ</t>
  </si>
  <si>
    <t>Mesfin Net Cash Flow</t>
  </si>
  <si>
    <t>የተጣራ ድርሻ / Income Share less Cost Obligations</t>
  </si>
  <si>
    <t>Zewdnesh Net Distribution / የዘውድነሽ የተጣራ ድርሻ</t>
  </si>
  <si>
    <t>Zewdnesh Net Cash Flow</t>
  </si>
  <si>
    <t>Audit Cross-Check / ማረጋገጫ</t>
  </si>
  <si>
    <t>Check</t>
  </si>
  <si>
    <t>Distribution Cross-Check</t>
  </si>
  <si>
    <t>የተጣራ = መስፍን + ዘውድነሽ / Net = Mesfin + Zewdnesh</t>
  </si>
  <si>
    <t>OK</t>
  </si>
  <si>
    <t>Distribution Ratio / የድርሻ ምጣኔ</t>
  </si>
  <si>
    <t>Ratio</t>
  </si>
  <si>
    <t>Partner Net Percentage Split</t>
  </si>
  <si>
    <t>የመስፍን % / የዘውድነሽ % (Mesfin % / Zewdnesh 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</si>
</sst>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(#,##0);&quot;-&quot;"/>
    <numFmt numFmtId="165" formatCode="#,##0.00;(#,##0.00);-"/>
    <numFmt numFmtId="166" formatCode="#,##0.00;(#,##0.00);&quot;-&quot;"/>
  </numFmts>
  <fonts count="49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Arial"/>
      <scheme val="minor"/>
    </font>
    <font>
      <sz val="11.0"/>
      <color rgb="FFFFFFFF"/>
      <name val="Calibri"/>
    </font>
    <font>
      <i/>
      <sz val="9.0"/>
      <color rgb="FF3D4658"/>
      <name val="Arial"/>
      <scheme val="minor"/>
    </font>
    <font>
      <b/>
      <sz val="16.0"/>
      <color rgb="FFFFFFFF"/>
      <name val="Google Sans"/>
    </font>
    <font>
      <sz val="11.0"/>
      <color theme="1"/>
      <name val="Adwa"/>
    </font>
    <font>
      <sz val="11.0"/>
      <color theme="1"/>
      <name val="Calibri"/>
    </font>
    <font>
      <sz val="10.0"/>
      <color rgb="FF181C1F"/>
      <name val="Roboto"/>
    </font>
    <font>
      <b/>
      <sz val="10.0"/>
      <color rgb="FFFFFFFF"/>
      <name val="Arial"/>
      <scheme val="minor"/>
    </font>
    <font/>
    <font>
      <sz val="10.0"/>
      <color rgb="FFCAD4E0"/>
      <name val="Google Sans"/>
    </font>
    <font>
      <b/>
      <sz val="10.0"/>
      <color rgb="FF274677"/>
      <name val="Arial"/>
      <scheme val="minor"/>
    </font>
    <font>
      <b/>
      <sz val="9.0"/>
      <color rgb="FF333F59"/>
      <name val="Google Sans"/>
    </font>
    <font>
      <b/>
      <sz val="9.0"/>
      <color rgb="FF1E40AE"/>
      <name val="Google Sans"/>
    </font>
    <font>
      <b/>
      <sz val="9.0"/>
      <color rgb="FF991B1B"/>
      <name val="Google Sans"/>
    </font>
    <font>
      <b/>
      <sz val="9.0"/>
      <color rgb="FF372FA2"/>
      <name val="Google Sans"/>
    </font>
    <font>
      <color theme="1"/>
      <name val="Arial"/>
      <scheme val="minor"/>
    </font>
    <font>
      <b/>
      <color rgb="FFFF0000"/>
      <name val="Arial"/>
    </font>
    <font>
      <b/>
      <sz val="9.0"/>
      <color rgb="FF115E58"/>
      <name val="Google Sans"/>
    </font>
    <font>
      <b/>
      <sz val="9.0"/>
      <color rgb="FF065F46"/>
      <name val="Google Sans"/>
    </font>
    <font>
      <b/>
      <sz val="13.0"/>
      <color rgb="FF19263F"/>
      <name val="Google Sans"/>
    </font>
    <font>
      <b/>
      <sz val="10.0"/>
      <color theme="1"/>
      <name val="Arial"/>
      <scheme val="minor"/>
    </font>
    <font>
      <b/>
      <sz val="13.0"/>
      <color rgb="FF1D4ED7"/>
      <name val="Google Sans"/>
    </font>
    <font>
      <b/>
      <sz val="13.0"/>
      <color rgb="FFB81C1C"/>
      <name val="Google Sans"/>
    </font>
    <font>
      <b/>
      <sz val="13.0"/>
      <color rgb="FF4338C9"/>
      <name val="Google Sans"/>
    </font>
    <font>
      <b/>
      <sz val="13.0"/>
      <color rgb="FF0F766D"/>
      <name val="Google Sans"/>
    </font>
    <font>
      <b/>
      <sz val="14.0"/>
      <color rgb="FF047856"/>
      <name val="Google Sans"/>
    </font>
    <font>
      <b/>
      <sz val="11.0"/>
      <color rgb="FF14803C"/>
      <name val="Google Sans"/>
    </font>
    <font>
      <b/>
      <sz val="10.0"/>
      <color rgb="FFFFFFFF"/>
      <name val="Google Sans"/>
    </font>
    <font>
      <b/>
      <sz val="9.0"/>
      <color rgb="FF1E293A"/>
      <name val="Google Sans"/>
    </font>
    <font>
      <b/>
      <sz val="9.0"/>
      <color rgb="FF78350F"/>
      <name val="Google Sans"/>
    </font>
    <font>
      <b/>
      <sz val="9.0"/>
      <color rgb="FF1E3989"/>
      <name val="Google Sans"/>
    </font>
    <font>
      <b/>
      <sz val="9.0"/>
      <color rgb="FF134E49"/>
      <name val="Google Sans"/>
    </font>
    <font>
      <sz val="9.0"/>
      <color rgb="FF1E293A"/>
      <name val="Google Sans"/>
    </font>
    <font>
      <b/>
      <sz val="10.0"/>
      <color rgb="FF142D68"/>
      <name val="Google Sans"/>
    </font>
    <font>
      <b/>
      <sz val="9.0"/>
      <color rgb="FF1E3FAF"/>
      <name val="Google Sans"/>
    </font>
    <font>
      <b/>
      <sz val="9.0"/>
      <color rgb="FF115E59"/>
      <name val="Google Sans"/>
    </font>
    <font>
      <b/>
      <sz val="9.0"/>
      <color rgb="FF1E283A"/>
      <name val="Google Sans"/>
    </font>
    <font>
      <b/>
      <sz val="9.0"/>
      <color rgb="FF77350F"/>
      <name val="Google Sans"/>
    </font>
    <font>
      <sz val="9.0"/>
      <color rgb="FF1E283A"/>
      <name val="Google Sans"/>
    </font>
    <font>
      <b/>
      <sz val="10.0"/>
      <color rgb="FF991B1B"/>
      <name val="Google Sans"/>
    </font>
    <font>
      <b/>
      <sz val="10.0"/>
      <color rgb="FF156434"/>
      <name val="Google Sans"/>
    </font>
    <font>
      <b/>
      <sz val="10.0"/>
      <color rgb="FF1E40AE"/>
      <name val="Google Sans"/>
    </font>
    <font>
      <b/>
      <sz val="10.0"/>
      <color rgb="FF115E58"/>
      <name val="Google Sans"/>
    </font>
    <font>
      <b/>
      <sz val="9.0"/>
      <color rgb="FF15803C"/>
      <name val="Google Sans"/>
    </font>
    <font>
      <i/>
      <sz val="9.0"/>
      <color rgb="FF334154"/>
      <name val="Google Sans"/>
    </font>
    <font>
      <sz val="10.0"/>
      <color theme="1"/>
      <name val="Arial"/>
      <scheme val="minor"/>
    </font>
    <font>
      <b/>
      <sz val="11.0"/>
      <color rgb="FFFFFFFF"/>
      <name val="Arial"/>
      <scheme val="minor"/>
    </font>
  </fonts>
  <fills count="44">
    <fill>
      <patternFill patternType="none"/>
    </fill>
    <fill>
      <patternFill patternType="lightGray"/>
    </fill>
    <fill>
      <patternFill patternType="solid">
        <fgColor rgb="FF405F90"/>
        <bgColor rgb="FF405F90"/>
      </patternFill>
    </fill>
    <fill>
      <patternFill patternType="solid">
        <fgColor rgb="FF7030A0"/>
        <bgColor rgb="FF7030A0"/>
      </patternFill>
    </fill>
    <fill>
      <patternFill patternType="solid">
        <fgColor rgb="FF002060"/>
        <bgColor rgb="FF002060"/>
      </patternFill>
    </fill>
    <fill>
      <patternFill patternType="solid">
        <fgColor rgb="FF0F2942"/>
        <bgColor rgb="FF0F2942"/>
      </patternFill>
    </fill>
    <fill>
      <patternFill patternType="solid">
        <fgColor rgb="FFFFFF00"/>
        <bgColor rgb="FFFFFF00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  <fill>
      <patternFill patternType="solid">
        <fgColor rgb="FF143453"/>
        <bgColor rgb="FF143453"/>
      </patternFill>
    </fill>
    <fill>
      <patternFill patternType="solid">
        <fgColor rgb="FFDAE1F8"/>
        <bgColor rgb="FFDAE1F8"/>
      </patternFill>
    </fill>
    <fill>
      <patternFill patternType="solid">
        <fgColor rgb="FFF2F4F9"/>
        <bgColor rgb="FFF2F4F9"/>
      </patternFill>
    </fill>
    <fill>
      <patternFill patternType="solid">
        <fgColor rgb="FFDBEAFD"/>
        <bgColor rgb="FFDBEAFD"/>
      </patternFill>
    </fill>
    <fill>
      <patternFill patternType="solid">
        <fgColor rgb="FFFDE1E1"/>
        <bgColor rgb="FFFDE1E1"/>
      </patternFill>
    </fill>
    <fill>
      <patternFill patternType="solid">
        <fgColor rgb="FFDFE7FF"/>
        <bgColor rgb="FFDFE7FF"/>
      </patternFill>
    </fill>
    <fill>
      <patternFill patternType="solid">
        <fgColor rgb="FFCCFAF0"/>
        <bgColor rgb="FFCCFAF0"/>
      </patternFill>
    </fill>
    <fill>
      <patternFill patternType="solid">
        <fgColor rgb="FFD1F9E4"/>
        <bgColor rgb="FFD1F9E4"/>
      </patternFill>
    </fill>
    <fill>
      <patternFill patternType="solid">
        <fgColor rgb="FFF9FCFF"/>
        <bgColor rgb="FFF9FCFF"/>
      </patternFill>
    </fill>
    <fill>
      <patternFill patternType="solid">
        <fgColor rgb="FFF0F7FF"/>
        <bgColor rgb="FFF0F7FF"/>
      </patternFill>
    </fill>
    <fill>
      <patternFill patternType="solid">
        <fgColor rgb="FFFFF5F5"/>
        <bgColor rgb="FFFFF5F5"/>
      </patternFill>
    </fill>
    <fill>
      <patternFill patternType="solid">
        <fgColor rgb="FFF1F5FF"/>
        <bgColor rgb="FFF1F5FF"/>
      </patternFill>
    </fill>
    <fill>
      <patternFill patternType="solid">
        <fgColor rgb="FFEDFCF9"/>
        <bgColor rgb="FFEDFCF9"/>
      </patternFill>
    </fill>
    <fill>
      <patternFill patternType="solid">
        <fgColor rgb="FFEDFCF5"/>
        <bgColor rgb="FFEDFCF5"/>
      </patternFill>
    </fill>
    <fill>
      <patternFill patternType="solid">
        <fgColor rgb="FFDCFBE7"/>
        <bgColor rgb="FFDCFBE7"/>
      </patternFill>
    </fill>
    <fill>
      <patternFill patternType="solid">
        <fgColor rgb="FF1E293A"/>
        <bgColor rgb="FF1E293A"/>
      </patternFill>
    </fill>
    <fill>
      <patternFill patternType="solid">
        <fgColor rgb="FF1E3989"/>
        <bgColor rgb="FF1E3989"/>
      </patternFill>
    </fill>
    <fill>
      <patternFill patternType="solid">
        <fgColor rgb="FF0F162A"/>
        <bgColor rgb="FF0F162A"/>
      </patternFill>
    </fill>
    <fill>
      <patternFill patternType="solid">
        <fgColor rgb="FFE1E8EF"/>
        <bgColor rgb="FFE1E8EF"/>
      </patternFill>
    </fill>
    <fill>
      <patternFill patternType="solid">
        <fgColor rgb="FFFDF6DA"/>
        <bgColor rgb="FFFDF6DA"/>
      </patternFill>
    </fill>
    <fill>
      <patternFill patternType="solid">
        <fgColor rgb="FFFCE689"/>
        <bgColor rgb="FFFCE689"/>
      </patternFill>
    </fill>
    <fill>
      <patternFill patternType="solid">
        <fgColor rgb="FFBEDBFB"/>
        <bgColor rgb="FFBEDBFB"/>
      </patternFill>
    </fill>
    <fill>
      <patternFill patternType="solid">
        <fgColor rgb="FF99F6E3"/>
        <bgColor rgb="FF99F6E3"/>
      </patternFill>
    </fill>
    <fill>
      <patternFill patternType="solid">
        <fgColor rgb="FFF7F9FC"/>
        <bgColor rgb="FFF7F9FC"/>
      </patternFill>
    </fill>
    <fill>
      <patternFill patternType="solid">
        <fgColor rgb="FFE8EDF9"/>
        <bgColor rgb="FFE8EDF9"/>
      </patternFill>
    </fill>
    <fill>
      <patternFill patternType="solid">
        <fgColor rgb="FFEFF4FF"/>
        <bgColor rgb="FFEFF4FF"/>
      </patternFill>
    </fill>
    <fill>
      <patternFill patternType="solid">
        <fgColor rgb="FF1E283A"/>
        <bgColor rgb="FF1E283A"/>
      </patternFill>
    </fill>
    <fill>
      <patternFill patternType="solid">
        <fgColor rgb="FFE2E8EF"/>
        <bgColor rgb="FFE2E8EF"/>
      </patternFill>
    </fill>
    <fill>
      <patternFill patternType="solid">
        <fgColor rgb="FFFCF7DB"/>
        <bgColor rgb="FFFCF7DB"/>
      </patternFill>
    </fill>
    <fill>
      <patternFill patternType="solid">
        <fgColor rgb="FFEEF6FF"/>
        <bgColor rgb="FFEEF6FF"/>
      </patternFill>
    </fill>
    <fill>
      <patternFill patternType="solid">
        <fgColor rgb="FFEFFCF9"/>
        <bgColor rgb="FFEFFCF9"/>
      </patternFill>
    </fill>
    <fill>
      <patternFill patternType="solid">
        <fgColor rgb="FFF8F9FB"/>
        <bgColor rgb="FFF8F9FB"/>
      </patternFill>
    </fill>
    <fill>
      <patternFill patternType="solid">
        <fgColor rgb="FFF0F5F8"/>
        <bgColor rgb="FFF0F5F8"/>
      </patternFill>
    </fill>
    <fill>
      <patternFill patternType="solid">
        <fgColor rgb="FFF8F8FF"/>
        <bgColor rgb="FFF8F8FF"/>
      </patternFill>
    </fill>
    <fill>
      <patternFill patternType="solid">
        <fgColor theme="0"/>
        <bgColor theme="0"/>
      </patternFill>
    </fill>
  </fills>
  <borders count="53">
    <border/>
    <border>
      <left style="thin">
        <color rgb="FFD8D8E0"/>
      </left>
      <top style="thin">
        <color rgb="FFD8D8E0"/>
      </top>
      <bottom style="thin">
        <color rgb="FFEAEAED"/>
      </bottom>
    </border>
    <border>
      <right style="thin">
        <color rgb="FFD8D8E0"/>
      </right>
      <top style="thin">
        <color rgb="FFD8D8E0"/>
      </top>
      <bottom style="thin">
        <color rgb="FFEAEAED"/>
      </bottom>
    </border>
    <border>
      <bottom style="medium">
        <color rgb="FF3B5B85"/>
      </bottom>
    </border>
    <border>
      <top style="thin">
        <color rgb="FFD8D8E0"/>
      </top>
      <bottom style="thin">
        <color rgb="FFEAEAED"/>
      </bottom>
    </border>
    <border>
      <left style="thin">
        <color rgb="FFD8D8E0"/>
      </left>
      <right style="thin">
        <color rgb="FFEAEAED"/>
      </right>
      <top style="thin">
        <color rgb="FFEAEAED"/>
      </top>
      <bottom style="thin">
        <color rgb="FFEAEAED"/>
      </bottom>
    </border>
    <border>
      <left style="thin">
        <color rgb="FFCCD8E5"/>
      </left>
      <right style="thin">
        <color rgb="FFCCD8E5"/>
      </right>
      <top style="thin">
        <color rgb="FFCCD8E5"/>
      </top>
      <bottom style="thin">
        <color rgb="FFCCD8E5"/>
      </bottom>
    </border>
    <border>
      <left style="thin">
        <color rgb="FFEAEAED"/>
      </left>
      <right style="thin">
        <color rgb="FFD8D8E0"/>
      </right>
      <top style="thin">
        <color rgb="FFEAEAED"/>
      </top>
      <bottom style="thin">
        <color rgb="FFEAEAED"/>
      </bottom>
    </border>
    <border>
      <left style="thin">
        <color rgb="FFD8D8E0"/>
      </left>
      <top style="thin">
        <color rgb="FFEAEAED"/>
      </top>
      <bottom style="thin">
        <color rgb="FFEAEAED"/>
      </bottom>
    </border>
    <border>
      <top style="thin">
        <color rgb="FFEAEAED"/>
      </top>
      <bottom style="thin">
        <color rgb="FFEAEAED"/>
      </bottom>
    </border>
    <border>
      <right style="thin">
        <color rgb="FFD8D8E0"/>
      </right>
      <top style="thin">
        <color rgb="FFEAEAED"/>
      </top>
      <bottom style="thin">
        <color rgb="FFEAEAED"/>
      </bottom>
    </border>
    <border>
      <left style="thin">
        <color rgb="FFEAEAED"/>
      </left>
      <right style="thin">
        <color rgb="FFEAEAED"/>
      </right>
      <top style="thin">
        <color rgb="FFEAEAED"/>
      </top>
      <bottom style="thin">
        <color rgb="FFEAEAED"/>
      </bottom>
    </border>
    <border>
      <left style="thin">
        <color rgb="FFCCD8E5"/>
      </left>
      <right style="thin">
        <color rgb="FFCCD8E5"/>
      </right>
      <bottom style="medium">
        <color rgb="FF99A5BF"/>
      </bottom>
    </border>
    <border>
      <left style="thin">
        <color rgb="FFD8D8E0"/>
      </left>
      <right style="thin">
        <color rgb="FFEAEAED"/>
      </right>
      <top style="thin">
        <color rgb="FFEAEAED"/>
      </top>
      <bottom style="thin">
        <color rgb="FFD8D8E0"/>
      </bottom>
    </border>
    <border>
      <left style="thin">
        <color rgb="FFEAEAED"/>
      </left>
      <right style="thin">
        <color rgb="FFD8D8E0"/>
      </right>
      <top style="thin">
        <color rgb="FFEAEAED"/>
      </top>
      <bottom style="thin">
        <color rgb="FFD8D8E0"/>
      </bottom>
    </border>
    <border>
      <bottom style="medium">
        <color rgb="FF3B78D7"/>
      </bottom>
    </border>
    <border>
      <left style="thin">
        <color rgb="FFEAEAED"/>
      </left>
      <right style="thin">
        <color rgb="FFEAEAED"/>
      </right>
      <top style="thin">
        <color rgb="FFEAEAED"/>
      </top>
      <bottom style="thin">
        <color rgb="FFD8D8E0"/>
      </bottom>
    </border>
    <border>
      <bottom style="medium">
        <color rgb="FFDC3131"/>
      </bottom>
    </border>
    <border>
      <bottom style="medium">
        <color rgb="FF6255E4"/>
      </bottom>
    </border>
    <border>
      <bottom style="medium">
        <color rgb="FF0D9487"/>
      </bottom>
    </border>
    <border>
      <bottom style="medium">
        <color rgb="FF109F6E"/>
      </bottom>
    </border>
    <border>
      <left style="thin">
        <color rgb="FF85DFA0"/>
      </left>
      <right style="thin">
        <color rgb="FF85DFA0"/>
      </right>
      <top style="thin">
        <color rgb="FF85DFA0"/>
      </top>
      <bottom style="medium">
        <color rgb="FF21A457"/>
      </bottom>
    </border>
    <border>
      <right style="thin">
        <color rgb="FFEAEAED"/>
      </right>
      <top style="thin">
        <color rgb="FFEAEAED"/>
      </top>
      <bottom style="thin">
        <color rgb="FFEAEAED"/>
      </bottom>
    </border>
    <border>
      <left style="thin">
        <color rgb="FFD8D8E0"/>
      </left>
    </border>
    <border>
      <left style="thin">
        <color rgb="FF3B5BA5"/>
      </left>
    </border>
    <border>
      <right style="thin">
        <color rgb="FF3B5BA5"/>
      </right>
    </border>
    <border>
      <left style="medium">
        <color rgb="FF4C6699"/>
      </left>
    </border>
    <border>
      <right style="medium">
        <color rgb="FF4C6699"/>
      </right>
    </border>
    <border>
      <right style="thin">
        <color rgb="FFCAD4E0"/>
      </right>
      <bottom style="medium">
        <color rgb="FF93A2B8"/>
      </bottom>
    </border>
    <border>
      <left style="medium">
        <color rgb="FF334C7F"/>
      </left>
      <bottom style="medium">
        <color rgb="FFCC9933"/>
      </bottom>
    </border>
    <border>
      <right style="medium">
        <color rgb="FF334C7F"/>
      </right>
      <bottom style="medium">
        <color rgb="FF0D9487"/>
      </bottom>
    </border>
    <border>
      <left style="medium">
        <color rgb="FF4C6699"/>
      </left>
      <bottom style="medium">
        <color rgb="FFB27F19"/>
      </bottom>
    </border>
    <border>
      <bottom style="medium">
        <color rgb="FF1E40AE"/>
      </bottom>
    </border>
    <border>
      <right style="medium">
        <color rgb="FF4C6699"/>
      </right>
      <bottom style="medium">
        <color rgb="FF0D9487"/>
      </bottom>
    </border>
    <border>
      <bottom style="thin">
        <color rgb="FFE5EAF2"/>
      </bottom>
    </border>
    <border>
      <top style="thin">
        <color rgb="FF93A3B7"/>
      </top>
      <bottom style="medium">
        <color rgb="FF3D5B84"/>
      </bottom>
    </border>
    <border>
      <bottom style="thin">
        <color rgb="FFDBEAFF"/>
      </bottom>
    </border>
    <border>
      <bottom style="medium">
        <color rgb="FFA5BFDB"/>
      </bottom>
    </border>
    <border>
      <right style="thin">
        <color rgb="FFCCD6E0"/>
      </right>
      <bottom style="medium">
        <color rgb="FF93A3B7"/>
      </bottom>
    </border>
    <border>
      <bottom style="medium">
        <color rgb="FFCC9933"/>
      </bottom>
    </border>
    <border>
      <top style="thin">
        <color rgb="FFF9A5A5"/>
      </top>
      <bottom style="medium">
        <color rgb="FFEF4444"/>
      </bottom>
    </border>
    <border>
      <top style="medium">
        <color rgb="FF21C55E"/>
      </top>
      <bottom style="thin">
        <color rgb="FF85DFA0"/>
      </bottom>
    </border>
    <border>
      <bottom style="thin">
        <color rgb="FFDBEAFD"/>
      </bottom>
    </border>
    <border>
      <bottom style="double">
        <color rgb="FF0D9487"/>
      </bottom>
    </border>
    <border>
      <bottom style="thin">
        <color rgb="FFE1E8EF"/>
      </bottom>
    </border>
    <border>
      <bottom style="medium">
        <color rgb="FF93A2B8"/>
      </bottom>
    </border>
    <border>
      <right style="thin">
        <color rgb="FFEAEAED"/>
      </right>
    </border>
    <border>
      <left style="thin">
        <color rgb="FFD8D8E0"/>
      </left>
      <right style="thin">
        <color rgb="FFEAEAED"/>
      </right>
      <top style="thin">
        <color rgb="FFD8D8E0"/>
      </top>
      <bottom style="thin">
        <color rgb="FFEAEAED"/>
      </bottom>
    </border>
    <border>
      <left style="thin">
        <color rgb="FFEAEAED"/>
      </left>
      <right style="thin">
        <color rgb="FFEAEAED"/>
      </right>
      <top style="thin">
        <color rgb="FFD8D8E0"/>
      </top>
      <bottom style="thin">
        <color rgb="FFEAEAED"/>
      </bottom>
    </border>
    <border>
      <left style="thin">
        <color rgb="FFEAEAED"/>
      </left>
      <top style="thin">
        <color rgb="FFD8D8E0"/>
      </top>
      <bottom style="thin">
        <color rgb="FFEAEAED"/>
      </bottom>
    </border>
    <border>
      <left style="thin">
        <color rgb="FFEAEAED"/>
      </left>
      <top style="thin">
        <color rgb="FFEAEAED"/>
      </top>
      <bottom style="thin">
        <color rgb="FFEAEAED"/>
      </bottom>
    </border>
    <border>
      <left style="thin">
        <color rgb="FFEAEAED"/>
      </left>
      <top style="thin">
        <color rgb="FFEAEAED"/>
      </top>
      <bottom style="thin">
        <color rgb="FFD8D8E0"/>
      </bottom>
    </border>
    <border>
      <right style="thin">
        <color rgb="FFD8D8E0"/>
      </right>
      <top style="thin">
        <color rgb="FFEAEAED"/>
      </top>
      <bottom style="thin">
        <color rgb="FFD8D8E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7" fontId="4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readingOrder="0" vertical="bottom"/>
    </xf>
    <xf borderId="0" fillId="5" fontId="5" numFmtId="0" xfId="0" applyAlignment="1" applyFill="1" applyFont="1">
      <alignment horizontal="left" readingOrder="0" shrinkToFit="0" vertical="center" wrapText="0"/>
    </xf>
    <xf borderId="0" fillId="6" fontId="7" numFmtId="3" xfId="0" applyAlignment="1" applyFill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6" fontId="7" numFmtId="0" xfId="0" applyAlignment="1" applyFill="1" applyFont="1">
      <alignment horizontal="right" vertical="bottom"/>
    </xf>
    <xf borderId="0" fillId="0" fontId="7" numFmtId="0" xfId="0" applyAlignment="1" applyFont="1">
      <alignment readingOrder="0" vertical="bottom"/>
    </xf>
    <xf borderId="0" fillId="8" fontId="8" numFmtId="0" xfId="0" applyAlignment="1" applyFill="1" applyFont="1">
      <alignment shrinkToFit="0" vertical="bottom" wrapText="0"/>
    </xf>
    <xf borderId="0" fillId="6" fontId="1" numFmtId="0" xfId="0" applyAlignment="1" applyFill="1" applyFont="1">
      <alignment vertical="bottom"/>
    </xf>
    <xf borderId="1" fillId="2" fontId="9" numFmtId="0" xfId="0" applyAlignment="1" applyBorder="1" applyFill="1" applyFont="1">
      <alignment horizontal="center" readingOrder="0"/>
    </xf>
    <xf borderId="0" fillId="6" fontId="7" numFmtId="0" xfId="0" applyAlignment="1" applyFill="1" applyFont="1">
      <alignment readingOrder="0" vertical="bottom"/>
    </xf>
    <xf borderId="2" fillId="0" fontId="10" numFmtId="0" xfId="0" applyBorder="1" applyFont="1"/>
    <xf borderId="3" fillId="9" fontId="11" numFmtId="0" xfId="0" applyAlignment="1" applyBorder="1" applyFill="1" applyFont="1">
      <alignment horizontal="left" readingOrder="0" shrinkToFit="0" vertical="center" wrapText="0"/>
    </xf>
    <xf borderId="3" fillId="0" fontId="10" numFmtId="0" xfId="0" applyBorder="1" applyFont="1"/>
    <xf borderId="4" fillId="0" fontId="10" numFmtId="0" xfId="0" applyBorder="1" applyFont="1"/>
    <xf borderId="0" fillId="0" fontId="1" numFmtId="3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vertical="bottom"/>
    </xf>
    <xf borderId="5" fillId="10" fontId="12" numFmtId="0" xfId="0" applyAlignment="1" applyBorder="1" applyFill="1" applyFont="1">
      <alignment readingOrder="0"/>
    </xf>
    <xf borderId="0" fillId="6" fontId="1" numFmtId="0" xfId="0" applyAlignment="1" applyFill="1" applyFont="1">
      <alignment readingOrder="0" vertical="bottom"/>
    </xf>
    <xf borderId="6" fillId="11" fontId="13" numFmtId="0" xfId="0" applyAlignment="1" applyBorder="1" applyFill="1" applyFont="1">
      <alignment horizontal="center" readingOrder="0" shrinkToFit="0" vertical="center" wrapText="1"/>
    </xf>
    <xf borderId="0" fillId="0" fontId="1" numFmtId="3" xfId="0" applyAlignment="1" applyFont="1" applyNumberFormat="1">
      <alignment vertical="bottom"/>
    </xf>
    <xf borderId="7" fillId="10" fontId="12" numFmtId="0" xfId="0" applyAlignment="1" applyBorder="1" applyFill="1" applyFont="1">
      <alignment readingOrder="0"/>
    </xf>
    <xf borderId="6" fillId="12" fontId="14" numFmtId="0" xfId="0" applyAlignment="1" applyBorder="1" applyFill="1" applyFont="1">
      <alignment horizontal="center" readingOrder="0" shrinkToFit="0" vertical="center" wrapText="1"/>
    </xf>
    <xf borderId="8" fillId="7" fontId="4" numFmtId="0" xfId="0" applyAlignment="1" applyBorder="1" applyFill="1" applyFont="1">
      <alignment horizontal="center" readingOrder="0"/>
    </xf>
    <xf borderId="6" fillId="13" fontId="15" numFmtId="0" xfId="0" applyAlignment="1" applyBorder="1" applyFill="1" applyFont="1">
      <alignment horizontal="center" readingOrder="0" shrinkToFit="0" vertical="center" wrapText="1"/>
    </xf>
    <xf borderId="9" fillId="0" fontId="10" numFmtId="0" xfId="0" applyBorder="1" applyFont="1"/>
    <xf borderId="10" fillId="0" fontId="10" numFmtId="0" xfId="0" applyBorder="1" applyFont="1"/>
    <xf borderId="6" fillId="14" fontId="16" numFmtId="0" xfId="0" applyAlignment="1" applyBorder="1" applyFill="1" applyFont="1">
      <alignment horizontal="center" readingOrder="0" shrinkToFit="0" vertical="center" wrapText="1"/>
    </xf>
    <xf borderId="5" fillId="0" fontId="17" numFmtId="0" xfId="0" applyAlignment="1" applyBorder="1" applyFont="1">
      <alignment readingOrder="0"/>
    </xf>
    <xf borderId="7" fillId="0" fontId="17" numFmtId="164" xfId="0" applyAlignment="1" applyBorder="1" applyFont="1" applyNumberFormat="1">
      <alignment horizontal="right" readingOrder="0"/>
    </xf>
    <xf borderId="0" fillId="0" fontId="18" numFmtId="3" xfId="0" applyAlignment="1" applyFont="1" applyNumberFormat="1">
      <alignment horizontal="right" vertical="bottom"/>
    </xf>
    <xf borderId="6" fillId="15" fontId="19" numFmtId="0" xfId="0" applyAlignment="1" applyBorder="1" applyFill="1" applyFont="1">
      <alignment horizontal="center" readingOrder="0" shrinkToFit="0" vertical="center" wrapText="1"/>
    </xf>
    <xf borderId="11" fillId="10" fontId="12" numFmtId="0" xfId="0" applyAlignment="1" applyBorder="1" applyFill="1" applyFont="1">
      <alignment readingOrder="0"/>
    </xf>
    <xf borderId="6" fillId="16" fontId="20" numFmtId="0" xfId="0" applyAlignment="1" applyBorder="1" applyFill="1" applyFont="1">
      <alignment horizontal="center" readingOrder="0" shrinkToFit="0" vertical="center" wrapText="1"/>
    </xf>
    <xf borderId="11" fillId="0" fontId="17" numFmtId="0" xfId="0" applyAlignment="1" applyBorder="1" applyFont="1">
      <alignment readingOrder="0"/>
    </xf>
    <xf borderId="4" fillId="0" fontId="9" numFmtId="0" xfId="0" applyAlignment="1" applyBorder="1" applyFont="1">
      <alignment horizontal="center" readingOrder="0" shrinkToFit="0" vertical="center" wrapText="0"/>
    </xf>
    <xf borderId="11" fillId="0" fontId="17" numFmtId="164" xfId="0" applyAlignment="1" applyBorder="1" applyFont="1" applyNumberFormat="1">
      <alignment horizontal="right" readingOrder="0"/>
    </xf>
    <xf borderId="2" fillId="0" fontId="9" numFmtId="0" xfId="0" applyAlignment="1" applyBorder="1" applyFont="1">
      <alignment horizontal="center" readingOrder="0" shrinkToFit="0" vertical="center" wrapText="0"/>
    </xf>
    <xf borderId="0" fillId="0" fontId="8" numFmtId="3" xfId="0" applyAlignment="1" applyFont="1" applyNumberFormat="1">
      <alignment horizontal="right" readingOrder="0" shrinkToFit="0" vertical="center" wrapText="0"/>
    </xf>
    <xf borderId="0" fillId="8" fontId="8" numFmtId="0" xfId="0" applyAlignment="1" applyFill="1" applyFont="1">
      <alignment shrinkToFit="0" vertical="center" wrapText="0"/>
    </xf>
    <xf borderId="0" fillId="8" fontId="8" numFmtId="0" xfId="0" applyAlignment="1" applyFill="1" applyFont="1">
      <alignment horizontal="left" readingOrder="0" shrinkToFit="0" vertical="center" wrapText="0"/>
    </xf>
    <xf borderId="0" fillId="8" fontId="8" numFmtId="3" xfId="0" applyAlignment="1" applyFill="1" applyFont="1" applyNumberFormat="1">
      <alignment horizontal="right" readingOrder="0" shrinkToFit="0" vertical="center" wrapText="0"/>
    </xf>
    <xf borderId="7" fillId="0" fontId="17" numFmtId="164" xfId="0" applyAlignment="1" applyBorder="1" applyFont="1" applyNumberFormat="1">
      <alignment horizontal="right"/>
    </xf>
    <xf borderId="0" fillId="8" fontId="8" numFmtId="0" xfId="0" applyAlignment="1" applyFill="1" applyFont="1">
      <alignment readingOrder="0" shrinkToFit="0" vertical="center" wrapText="0"/>
    </xf>
    <xf borderId="0" fillId="8" fontId="8" numFmtId="0" xfId="0" applyAlignment="1" applyFill="1" applyFont="1">
      <alignment horizontal="right" readingOrder="0" shrinkToFit="0" vertical="center" wrapText="0"/>
    </xf>
    <xf borderId="0" fillId="8" fontId="8" numFmtId="0" xfId="0" applyAlignment="1" applyFill="1" applyFont="1">
      <alignment horizontal="right" vertical="center"/>
    </xf>
    <xf borderId="0" fillId="8" fontId="8" numFmtId="3" xfId="0" applyAlignment="1" applyFill="1" applyFont="1" applyNumberFormat="1">
      <alignment horizontal="center" readingOrder="0" shrinkToFit="0" vertical="center" wrapText="0"/>
    </xf>
    <xf borderId="0" fillId="8" fontId="8" numFmtId="0" xfId="0" applyAlignment="1" applyFill="1" applyFont="1">
      <alignment horizontal="center" readingOrder="0" shrinkToFit="0" vertical="center" wrapText="0"/>
    </xf>
    <xf borderId="12" fillId="17" fontId="21" numFmtId="0" xfId="0" applyAlignment="1" applyBorder="1" applyFill="1" applyFont="1">
      <alignment horizontal="center" readingOrder="0" shrinkToFit="0" vertical="center" wrapText="0"/>
    </xf>
    <xf borderId="13" fillId="10" fontId="22" numFmtId="0" xfId="0" applyAlignment="1" applyBorder="1" applyFill="1" applyFont="1">
      <alignment readingOrder="0"/>
    </xf>
    <xf borderId="14" fillId="10" fontId="22" numFmtId="164" xfId="0" applyAlignment="1" applyBorder="1" applyFill="1" applyFont="1" applyNumberFormat="1">
      <alignment horizontal="right"/>
    </xf>
    <xf borderId="15" fillId="18" fontId="23" numFmtId="165" xfId="0" applyAlignment="1" applyBorder="1" applyFill="1" applyFont="1" applyNumberFormat="1">
      <alignment horizontal="center" readingOrder="0" shrinkToFit="0" vertical="center" wrapText="0"/>
    </xf>
    <xf borderId="16" fillId="10" fontId="22" numFmtId="0" xfId="0" applyBorder="1" applyFill="1" applyFont="1"/>
    <xf borderId="17" fillId="19" fontId="24" numFmtId="165" xfId="0" applyAlignment="1" applyBorder="1" applyFill="1" applyFont="1" applyNumberFormat="1">
      <alignment horizontal="center" readingOrder="0" shrinkToFit="0" vertical="center" wrapText="0"/>
    </xf>
    <xf borderId="16" fillId="10" fontId="22" numFmtId="164" xfId="0" applyAlignment="1" applyBorder="1" applyFill="1" applyFont="1" applyNumberFormat="1">
      <alignment horizontal="right"/>
    </xf>
    <xf borderId="18" fillId="20" fontId="25" numFmtId="165" xfId="0" applyAlignment="1" applyBorder="1" applyFill="1" applyFont="1" applyNumberFormat="1">
      <alignment horizontal="center" readingOrder="0" shrinkToFit="0" vertical="center" wrapText="0"/>
    </xf>
    <xf borderId="19" fillId="21" fontId="26" numFmtId="165" xfId="0" applyAlignment="1" applyBorder="1" applyFill="1" applyFont="1" applyNumberFormat="1">
      <alignment horizontal="center" readingOrder="0" shrinkToFit="0" vertical="center" wrapText="0"/>
    </xf>
    <xf borderId="20" fillId="22" fontId="27" numFmtId="165" xfId="0" applyAlignment="1" applyBorder="1" applyFill="1" applyFont="1" applyNumberFormat="1">
      <alignment horizontal="center" vertical="center"/>
    </xf>
    <xf borderId="21" fillId="23" fontId="28" numFmtId="0" xfId="0" applyAlignment="1" applyBorder="1" applyFill="1" applyFont="1">
      <alignment horizontal="center" readingOrder="0" shrinkToFit="0" vertical="center" wrapText="0"/>
    </xf>
    <xf borderId="22" fillId="0" fontId="12" numFmtId="0" xfId="0" applyAlignment="1" applyBorder="1" applyFont="1">
      <alignment horizontal="center" readingOrder="0" shrinkToFit="0" vertical="center" wrapText="0"/>
    </xf>
    <xf borderId="11" fillId="0" fontId="12" numFmtId="0" xfId="0" applyAlignment="1" applyBorder="1" applyFont="1">
      <alignment horizontal="center" readingOrder="0" shrinkToFit="0" vertical="center" wrapText="0"/>
    </xf>
    <xf borderId="7" fillId="0" fontId="12" numFmtId="0" xfId="0" applyAlignment="1" applyBorder="1" applyFont="1">
      <alignment horizontal="center" readingOrder="0" shrinkToFit="0" vertical="center" wrapText="0"/>
    </xf>
    <xf borderId="0" fillId="8" fontId="8" numFmtId="3" xfId="0" applyAlignment="1" applyFill="1" applyFont="1" applyNumberFormat="1">
      <alignment shrinkToFit="0" vertical="center" wrapText="0"/>
    </xf>
    <xf borderId="0" fillId="8" fontId="8" numFmtId="0" xfId="0" applyAlignment="1" applyFill="1" applyFont="1">
      <alignment readingOrder="0" shrinkToFit="0" vertical="bottom" wrapText="0"/>
    </xf>
    <xf borderId="0" fillId="8" fontId="8" numFmtId="164" xfId="0" applyAlignment="1" applyFill="1" applyFont="1" applyNumberFormat="1">
      <alignment horizontal="right" readingOrder="0" shrinkToFit="0" vertical="bottom" wrapText="0"/>
    </xf>
    <xf borderId="0" fillId="8" fontId="8" numFmtId="0" xfId="0" applyAlignment="1" applyFill="1" applyFont="1">
      <alignment horizontal="center"/>
    </xf>
    <xf borderId="0" fillId="8" fontId="8" numFmtId="0" xfId="0" applyAlignment="1" applyFill="1" applyFont="1">
      <alignment horizontal="left" readingOrder="0" vertical="center"/>
    </xf>
    <xf borderId="22" fillId="0" fontId="8" numFmtId="3" xfId="0" applyAlignment="1" applyBorder="1" applyFont="1" applyNumberFormat="1">
      <alignment horizontal="right" readingOrder="0" shrinkToFit="0" vertical="center" wrapText="0"/>
    </xf>
    <xf borderId="11" fillId="0" fontId="8" numFmtId="164" xfId="0" applyAlignment="1" applyBorder="1" applyFont="1" applyNumberFormat="1">
      <alignment horizontal="right" readingOrder="0" shrinkToFit="0" vertical="center" wrapText="0"/>
    </xf>
    <xf borderId="7" fillId="0" fontId="8" numFmtId="164" xfId="0" applyAlignment="1" applyBorder="1" applyFont="1" applyNumberFormat="1">
      <alignment horizontal="right" readingOrder="0" shrinkToFit="0" vertical="center" wrapText="0"/>
    </xf>
    <xf borderId="0" fillId="8" fontId="8" numFmtId="3" xfId="0" applyAlignment="1" applyFill="1" applyFont="1" applyNumberFormat="1">
      <alignment horizontal="right" readingOrder="0" shrinkToFit="0" vertical="center" wrapText="0"/>
    </xf>
    <xf borderId="0" fillId="8" fontId="8" numFmtId="0" xfId="0" applyAlignment="1" applyFill="1" applyFont="1">
      <alignment horizontal="right" readingOrder="0" vertical="center"/>
    </xf>
    <xf borderId="0" fillId="8" fontId="8" numFmtId="3" xfId="0" applyAlignment="1" applyFill="1" applyFont="1" applyNumberForma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shrinkToFit="0" vertical="center" wrapText="0"/>
    </xf>
    <xf borderId="23" fillId="24" fontId="29" numFmtId="0" xfId="0" applyAlignment="1" applyBorder="1" applyFill="1" applyFont="1">
      <alignment horizontal="left" readingOrder="0" shrinkToFit="0" vertical="center" wrapText="1"/>
    </xf>
    <xf borderId="24" fillId="25" fontId="29" numFmtId="0" xfId="0" applyAlignment="1" applyBorder="1" applyFill="1" applyFont="1">
      <alignment horizontal="center" readingOrder="0" shrinkToFit="0" vertical="center" wrapText="1"/>
    </xf>
    <xf borderId="25" fillId="0" fontId="10" numFmtId="0" xfId="0" applyBorder="1" applyFont="1"/>
    <xf borderId="24" fillId="25" fontId="29" numFmtId="3" xfId="0" applyAlignment="1" applyBorder="1" applyFill="1" applyFont="1" applyNumberFormat="1">
      <alignment horizontal="center" readingOrder="0" vertical="center"/>
    </xf>
    <xf borderId="24" fillId="25" fontId="29" numFmtId="3" xfId="0" applyAlignment="1" applyBorder="1" applyFill="1" applyFont="1" applyNumberFormat="1">
      <alignment horizontal="center" readingOrder="0" shrinkToFit="0" vertical="center" wrapText="0"/>
    </xf>
    <xf borderId="24" fillId="25" fontId="29" numFmtId="3" xfId="0" applyAlignment="1" applyBorder="1" applyFill="1" applyFont="1" applyNumberFormat="1">
      <alignment horizontal="center" readingOrder="0" shrinkToFit="0" vertical="center" wrapText="0"/>
    </xf>
    <xf borderId="24" fillId="25" fontId="29" numFmtId="0" xfId="0" applyAlignment="1" applyBorder="1" applyFill="1" applyFont="1">
      <alignment horizontal="center" readingOrder="0" vertical="center"/>
    </xf>
    <xf borderId="24" fillId="25" fontId="29" numFmtId="0" xfId="0" applyAlignment="1" applyBorder="1" applyFill="1" applyFont="1">
      <alignment horizontal="center" readingOrder="0" shrinkToFit="0" vertical="center" wrapText="0"/>
    </xf>
    <xf borderId="26" fillId="26" fontId="29" numFmtId="0" xfId="0" applyAlignment="1" applyBorder="1" applyFill="1" applyFont="1">
      <alignment horizontal="center" readingOrder="0" shrinkToFit="0" vertical="center" wrapText="0"/>
    </xf>
    <xf borderId="27" fillId="0" fontId="10" numFmtId="0" xfId="0" applyBorder="1" applyFont="1"/>
    <xf borderId="28" fillId="27" fontId="30" numFmtId="0" xfId="0" applyAlignment="1" applyBorder="1" applyFill="1" applyFont="1">
      <alignment horizontal="left" readingOrder="0" shrinkToFit="0" vertical="center" wrapText="1"/>
    </xf>
    <xf borderId="28" fillId="27" fontId="30" numFmtId="164" xfId="0" applyAlignment="1" applyBorder="1" applyFill="1" applyFont="1" applyNumberFormat="1">
      <alignment horizontal="left" readingOrder="0" shrinkToFit="0" vertical="center" wrapText="1"/>
    </xf>
    <xf borderId="29" fillId="28" fontId="31" numFmtId="164" xfId="0" applyAlignment="1" applyBorder="1" applyFill="1" applyFont="1" applyNumberFormat="1">
      <alignment horizontal="right" readingOrder="0" shrinkToFit="0" vertical="center" wrapText="1"/>
    </xf>
    <xf borderId="15" fillId="12" fontId="14" numFmtId="164" xfId="0" applyAlignment="1" applyBorder="1" applyFill="1" applyFont="1" applyNumberFormat="1">
      <alignment horizontal="right" readingOrder="0" shrinkToFit="0" vertical="center" wrapText="1"/>
    </xf>
    <xf borderId="30" fillId="15" fontId="19" numFmtId="0" xfId="0" applyAlignment="1" applyBorder="1" applyFill="1" applyFont="1">
      <alignment horizontal="right" readingOrder="0" shrinkToFit="0" vertical="center" wrapText="1"/>
    </xf>
    <xf borderId="29" fillId="28" fontId="31" numFmtId="3" xfId="0" applyAlignment="1" applyBorder="1" applyFill="1" applyFont="1" applyNumberFormat="1">
      <alignment horizontal="right" readingOrder="0" shrinkToFit="0" vertical="center" wrapText="1"/>
    </xf>
    <xf borderId="30" fillId="15" fontId="19" numFmtId="164" xfId="0" applyAlignment="1" applyBorder="1" applyFill="1" applyFont="1" applyNumberFormat="1">
      <alignment horizontal="right" readingOrder="0" shrinkToFit="0" vertical="center" wrapText="1"/>
    </xf>
    <xf borderId="15" fillId="12" fontId="14" numFmtId="0" xfId="0" applyAlignment="1" applyBorder="1" applyFill="1" applyFont="1">
      <alignment horizontal="right" readingOrder="0" shrinkToFit="0" vertical="center" wrapText="1"/>
    </xf>
    <xf borderId="29" fillId="28" fontId="31" numFmtId="3" xfId="0" applyAlignment="1" applyBorder="1" applyFill="1" applyFont="1" applyNumberFormat="1">
      <alignment horizontal="right" readingOrder="0" shrinkToFit="0" vertical="center" wrapText="1"/>
    </xf>
    <xf borderId="15" fillId="12" fontId="14" numFmtId="0" xfId="0" applyAlignment="1" applyBorder="1" applyFill="1" applyFont="1">
      <alignment horizontal="right" readingOrder="0" vertical="center"/>
    </xf>
    <xf borderId="30" fillId="15" fontId="19" numFmtId="3" xfId="0" applyAlignment="1" applyBorder="1" applyFill="1" applyFont="1" applyNumberFormat="1">
      <alignment horizontal="right" readingOrder="0" shrinkToFit="0" vertical="center" wrapText="0"/>
    </xf>
    <xf borderId="29" fillId="28" fontId="31" numFmtId="0" xfId="0" applyAlignment="1" applyBorder="1" applyFill="1" applyFont="1">
      <alignment horizontal="right" readingOrder="0" shrinkToFit="0" vertical="center" wrapText="0"/>
    </xf>
    <xf borderId="15" fillId="12" fontId="14" numFmtId="0" xfId="0" applyAlignment="1" applyBorder="1" applyFill="1" applyFont="1">
      <alignment horizontal="right" readingOrder="0" shrinkToFit="0" vertical="center" wrapText="0"/>
    </xf>
    <xf borderId="29" fillId="28" fontId="31" numFmtId="3" xfId="0" applyAlignment="1" applyBorder="1" applyFill="1" applyFont="1" applyNumberFormat="1">
      <alignment horizontal="right" readingOrder="0" shrinkToFit="0" vertical="center" wrapText="0"/>
    </xf>
    <xf borderId="15" fillId="12" fontId="14" numFmtId="3" xfId="0" applyAlignment="1" applyBorder="1" applyFill="1" applyFont="1" applyNumberFormat="1">
      <alignment horizontal="right" readingOrder="0" shrinkToFit="0" vertical="center" wrapText="0"/>
    </xf>
    <xf borderId="30" fillId="15" fontId="19" numFmtId="3" xfId="0" applyAlignment="1" applyBorder="1" applyFill="1" applyFont="1" applyNumberFormat="1">
      <alignment horizontal="right" readingOrder="0" shrinkToFit="0" vertical="center" wrapText="0"/>
    </xf>
    <xf borderId="29" fillId="28" fontId="31" numFmtId="3" xfId="0" applyAlignment="1" applyBorder="1" applyFill="1" applyFont="1" applyNumberFormat="1">
      <alignment horizontal="right" readingOrder="0" shrinkToFit="0" vertical="center" wrapText="0"/>
    </xf>
    <xf borderId="15" fillId="12" fontId="14" numFmtId="3" xfId="0" applyAlignment="1" applyBorder="1" applyFill="1" applyFont="1" applyNumberFormat="1">
      <alignment horizontal="right" readingOrder="0" shrinkToFit="0" vertical="center" wrapText="0"/>
    </xf>
    <xf borderId="30" fillId="15" fontId="19" numFmtId="0" xfId="0" applyAlignment="1" applyBorder="1" applyFill="1" applyFont="1">
      <alignment horizontal="right" readingOrder="0" shrinkToFit="0" vertical="center" wrapText="0"/>
    </xf>
    <xf borderId="31" fillId="29" fontId="31" numFmtId="0" xfId="0" applyAlignment="1" applyBorder="1" applyFill="1" applyFont="1">
      <alignment horizontal="right" readingOrder="0" shrinkToFit="0" vertical="center" wrapText="0"/>
    </xf>
    <xf borderId="32" fillId="30" fontId="32" numFmtId="0" xfId="0" applyAlignment="1" applyBorder="1" applyFill="1" applyFont="1">
      <alignment horizontal="right" readingOrder="0" shrinkToFit="0" vertical="center" wrapText="0"/>
    </xf>
    <xf borderId="33" fillId="31" fontId="33" numFmtId="0" xfId="0" applyAlignment="1" applyBorder="1" applyFill="1" applyFont="1">
      <alignment horizontal="right" readingOrder="0" shrinkToFit="0" vertical="center" wrapText="0"/>
    </xf>
    <xf borderId="34" fillId="8" fontId="34" numFmtId="0" xfId="0" applyAlignment="1" applyBorder="1" applyFill="1" applyFont="1">
      <alignment readingOrder="0" shrinkToFit="0" vertical="center" wrapText="0"/>
    </xf>
    <xf borderId="34" fillId="8" fontId="34" numFmtId="164" xfId="0" applyAlignment="1" applyBorder="1" applyFill="1" applyFont="1" applyNumberFormat="1">
      <alignment horizontal="right" readingOrder="0" shrinkToFit="0" vertical="center" wrapText="0"/>
    </xf>
    <xf borderId="34" fillId="8" fontId="34" numFmtId="165" xfId="0" applyAlignment="1" applyBorder="1" applyFill="1" applyFont="1" applyNumberFormat="1">
      <alignment horizontal="right" readingOrder="0" shrinkToFit="0" vertical="center" wrapText="0"/>
    </xf>
    <xf borderId="34" fillId="8" fontId="34" numFmtId="165" xfId="0" applyAlignment="1" applyBorder="1" applyFill="1" applyFont="1" applyNumberFormat="1">
      <alignment horizontal="right" readingOrder="0" vertical="center"/>
    </xf>
    <xf borderId="34" fillId="8" fontId="34" numFmtId="165" xfId="0" applyAlignment="1" applyBorder="1" applyFill="1" applyFont="1" applyNumberFormat="1">
      <alignment horizontal="right" shrinkToFit="0" vertical="center" wrapText="0"/>
    </xf>
    <xf borderId="34" fillId="32" fontId="34" numFmtId="0" xfId="0" applyAlignment="1" applyBorder="1" applyFill="1" applyFont="1">
      <alignment readingOrder="0" shrinkToFit="0" vertical="center" wrapText="0"/>
    </xf>
    <xf borderId="34" fillId="32" fontId="34" numFmtId="164" xfId="0" applyAlignment="1" applyBorder="1" applyFill="1" applyFont="1" applyNumberFormat="1">
      <alignment horizontal="right" readingOrder="0" shrinkToFit="0" vertical="center" wrapText="0"/>
    </xf>
    <xf borderId="34" fillId="32" fontId="34" numFmtId="165" xfId="0" applyAlignment="1" applyBorder="1" applyFill="1" applyFont="1" applyNumberFormat="1">
      <alignment horizontal="right" readingOrder="0" shrinkToFit="0" vertical="center" wrapText="0"/>
    </xf>
    <xf borderId="34" fillId="32" fontId="34" numFmtId="165" xfId="0" applyAlignment="1" applyBorder="1" applyFill="1" applyFont="1" applyNumberFormat="1">
      <alignment horizontal="right" readingOrder="0" vertical="center"/>
    </xf>
    <xf borderId="34" fillId="32" fontId="34" numFmtId="165" xfId="0" applyAlignment="1" applyBorder="1" applyFill="1" applyFont="1" applyNumberFormat="1">
      <alignment horizontal="right" shrinkToFit="0" vertical="center" wrapText="0"/>
    </xf>
    <xf borderId="34" fillId="8" fontId="34" numFmtId="165" xfId="0" applyAlignment="1" applyBorder="1" applyFill="1" applyFont="1" applyNumberFormat="1">
      <alignment horizontal="right" vertical="center"/>
    </xf>
    <xf borderId="34" fillId="32" fontId="34" numFmtId="165" xfId="0" applyAlignment="1" applyBorder="1" applyFill="1" applyFont="1" applyNumberFormat="1">
      <alignment horizontal="right" vertical="center"/>
    </xf>
    <xf borderId="35" fillId="33" fontId="35" numFmtId="0" xfId="0" applyAlignment="1" applyBorder="1" applyFill="1" applyFont="1">
      <alignment readingOrder="0" shrinkToFit="0" vertical="center" wrapText="0"/>
    </xf>
    <xf borderId="35" fillId="0" fontId="10" numFmtId="0" xfId="0" applyBorder="1" applyFont="1"/>
    <xf borderId="35" fillId="33" fontId="35" numFmtId="164" xfId="0" applyAlignment="1" applyBorder="1" applyFill="1" applyFont="1" applyNumberFormat="1">
      <alignment horizontal="right" readingOrder="0" shrinkToFit="0" vertical="center" wrapText="0"/>
    </xf>
    <xf borderId="35" fillId="33" fontId="35" numFmtId="165" xfId="0" applyAlignment="1" applyBorder="1" applyFill="1" applyFont="1" applyNumberFormat="1">
      <alignment horizontal="right" readingOrder="0" shrinkToFit="0" vertical="center" wrapText="0"/>
    </xf>
    <xf borderId="35" fillId="33" fontId="35" numFmtId="165" xfId="0" applyAlignment="1" applyBorder="1" applyFill="1" applyFont="1" applyNumberFormat="1">
      <alignment horizontal="right" vertical="center"/>
    </xf>
    <xf borderId="35" fillId="33" fontId="35" numFmtId="165" xfId="0" applyAlignment="1" applyBorder="1" applyFill="1" applyFont="1" applyNumberFormat="1">
      <alignment horizontal="right" shrinkToFit="0" vertical="center" wrapText="0"/>
    </xf>
    <xf borderId="36" fillId="34" fontId="36" numFmtId="0" xfId="0" applyAlignment="1" applyBorder="1" applyFill="1" applyFont="1">
      <alignment readingOrder="0" shrinkToFit="0" vertical="center" wrapText="0"/>
    </xf>
    <xf borderId="36" fillId="34" fontId="36" numFmtId="164" xfId="0" applyAlignment="1" applyBorder="1" applyFill="1" applyFont="1" applyNumberFormat="1">
      <alignment horizontal="right" readingOrder="0" shrinkToFit="0" vertical="center" wrapText="0"/>
    </xf>
    <xf borderId="36" fillId="34" fontId="36" numFmtId="165" xfId="0" applyAlignment="1" applyBorder="1" applyFill="1" applyFont="1" applyNumberFormat="1">
      <alignment horizontal="right" readingOrder="0" shrinkToFit="0" vertical="center" wrapText="0"/>
    </xf>
    <xf borderId="36" fillId="34" fontId="36" numFmtId="165" xfId="0" applyAlignment="1" applyBorder="1" applyFill="1" applyFont="1" applyNumberFormat="1">
      <alignment horizontal="right" vertical="center"/>
    </xf>
    <xf borderId="36" fillId="34" fontId="36" numFmtId="165" xfId="0" applyAlignment="1" applyBorder="1" applyFill="1" applyFont="1" applyNumberFormat="1">
      <alignment horizontal="right" readingOrder="0" vertical="center"/>
    </xf>
    <xf borderId="36" fillId="34" fontId="36" numFmtId="165" xfId="0" applyAlignment="1" applyBorder="1" applyFill="1" applyFont="1" applyNumberFormat="1">
      <alignment horizontal="right" shrinkToFit="0" vertical="center" wrapText="0"/>
    </xf>
    <xf borderId="37" fillId="21" fontId="37" numFmtId="0" xfId="0" applyAlignment="1" applyBorder="1" applyFill="1" applyFont="1">
      <alignment readingOrder="0" shrinkToFit="0" vertical="center" wrapText="0"/>
    </xf>
    <xf borderId="37" fillId="21" fontId="37" numFmtId="164" xfId="0" applyAlignment="1" applyBorder="1" applyFill="1" applyFont="1" applyNumberFormat="1">
      <alignment horizontal="right" readingOrder="0" shrinkToFit="0" vertical="center" wrapText="0"/>
    </xf>
    <xf borderId="37" fillId="21" fontId="37" numFmtId="165" xfId="0" applyAlignment="1" applyBorder="1" applyFill="1" applyFont="1" applyNumberFormat="1">
      <alignment horizontal="right" readingOrder="0" shrinkToFit="0" vertical="center" wrapText="0"/>
    </xf>
    <xf borderId="37" fillId="21" fontId="37" numFmtId="165" xfId="0" applyAlignment="1" applyBorder="1" applyFill="1" applyFont="1" applyNumberFormat="1">
      <alignment horizontal="right" readingOrder="0" vertical="center"/>
    </xf>
    <xf borderId="37" fillId="21" fontId="37" numFmtId="165" xfId="0" applyAlignment="1" applyBorder="1" applyFill="1" applyFont="1" applyNumberFormat="1">
      <alignment horizontal="right" vertical="center"/>
    </xf>
    <xf borderId="37" fillId="21" fontId="37" numFmtId="165" xfId="0" applyAlignment="1" applyBorder="1" applyFill="1" applyFont="1" applyNumberFormat="1">
      <alignment horizontal="right" shrinkToFit="0" vertical="center" wrapText="0"/>
    </xf>
    <xf borderId="0" fillId="35" fontId="29" numFmtId="0" xfId="0" applyAlignment="1" applyFill="1" applyFont="1">
      <alignment horizontal="left" readingOrder="0" shrinkToFit="0" vertical="center" wrapText="0"/>
    </xf>
    <xf borderId="38" fillId="36" fontId="38" numFmtId="0" xfId="0" applyAlignment="1" applyBorder="1" applyFill="1" applyFont="1">
      <alignment horizontal="left" readingOrder="0" shrinkToFit="0" vertical="center" wrapText="1"/>
    </xf>
    <xf borderId="39" fillId="37" fontId="39" numFmtId="166" xfId="0" applyAlignment="1" applyBorder="1" applyFill="1" applyFont="1" applyNumberFormat="1">
      <alignment horizontal="right" readingOrder="0" shrinkToFit="0" vertical="center" wrapText="1"/>
    </xf>
    <xf borderId="39" fillId="12" fontId="14" numFmtId="166" xfId="0" applyAlignment="1" applyBorder="1" applyFill="1" applyFont="1" applyNumberFormat="1">
      <alignment horizontal="right" readingOrder="0" shrinkToFit="0" vertical="center" wrapText="1"/>
    </xf>
    <xf borderId="39" fillId="15" fontId="19" numFmtId="166" xfId="0" applyAlignment="1" applyBorder="1" applyFill="1" applyFont="1" applyNumberFormat="1">
      <alignment horizontal="right" readingOrder="0" shrinkToFit="0" vertical="center" wrapText="1"/>
    </xf>
    <xf borderId="39" fillId="12" fontId="14" numFmtId="166" xfId="0" applyAlignment="1" applyBorder="1" applyFill="1" applyFont="1" applyNumberFormat="1">
      <alignment horizontal="right" readingOrder="0" shrinkToFit="0" vertical="center" wrapText="0"/>
    </xf>
    <xf borderId="39" fillId="15" fontId="19" numFmtId="166" xfId="0" applyAlignment="1" applyBorder="1" applyFill="1" applyFont="1" applyNumberFormat="1">
      <alignment horizontal="right" readingOrder="0" shrinkToFit="0" vertical="center" wrapText="0"/>
    </xf>
    <xf borderId="39" fillId="37" fontId="39" numFmtId="166" xfId="0" applyAlignment="1" applyBorder="1" applyFill="1" applyFont="1" applyNumberFormat="1">
      <alignment horizontal="right" readingOrder="0" shrinkToFit="0" vertical="center" wrapText="0"/>
    </xf>
    <xf borderId="39" fillId="30" fontId="32" numFmtId="166" xfId="0" applyAlignment="1" applyBorder="1" applyFill="1" applyFont="1" applyNumberFormat="1">
      <alignment horizontal="right" readingOrder="0" shrinkToFit="0" vertical="center" wrapText="0"/>
    </xf>
    <xf borderId="39" fillId="31" fontId="33" numFmtId="166" xfId="0" applyAlignment="1" applyBorder="1" applyFill="1" applyFont="1" applyNumberFormat="1">
      <alignment horizontal="right" readingOrder="0" shrinkToFit="0" vertical="center" wrapText="0"/>
    </xf>
    <xf borderId="34" fillId="8" fontId="40" numFmtId="0" xfId="0" applyAlignment="1" applyBorder="1" applyFill="1" applyFont="1">
      <alignment horizontal="left" readingOrder="0" shrinkToFit="0" vertical="center" wrapText="0"/>
    </xf>
    <xf borderId="34" fillId="8" fontId="40" numFmtId="0" xfId="0" applyAlignment="1" applyBorder="1" applyFill="1" applyFont="1">
      <alignment horizontal="center" readingOrder="0" shrinkToFit="0" vertical="center" wrapText="0"/>
    </xf>
    <xf borderId="34" fillId="8" fontId="40" numFmtId="164" xfId="0" applyAlignment="1" applyBorder="1" applyFill="1" applyFont="1" applyNumberFormat="1">
      <alignment horizontal="center" readingOrder="0" shrinkToFit="0" vertical="center" wrapText="0"/>
    </xf>
    <xf borderId="34" fillId="8" fontId="40" numFmtId="165" xfId="0" applyAlignment="1" applyBorder="1" applyFill="1" applyFont="1" applyNumberFormat="1">
      <alignment horizontal="right" readingOrder="0" shrinkToFit="0" vertical="center" wrapText="0"/>
    </xf>
    <xf borderId="34" fillId="8" fontId="40" numFmtId="165" xfId="0" applyAlignment="1" applyBorder="1" applyFill="1" applyFont="1" applyNumberFormat="1">
      <alignment horizontal="right" readingOrder="0" vertical="center"/>
    </xf>
    <xf borderId="34" fillId="8" fontId="40" numFmtId="165" xfId="0" applyAlignment="1" applyBorder="1" applyFill="1" applyFont="1" applyNumberFormat="1">
      <alignment horizontal="right" shrinkToFit="0" vertical="center" wrapText="0"/>
    </xf>
    <xf borderId="34" fillId="32" fontId="40" numFmtId="0" xfId="0" applyAlignment="1" applyBorder="1" applyFill="1" applyFont="1">
      <alignment readingOrder="0" shrinkToFit="0" vertical="center" wrapText="0"/>
    </xf>
    <xf borderId="34" fillId="32" fontId="40" numFmtId="164" xfId="0" applyAlignment="1" applyBorder="1" applyFill="1" applyFont="1" applyNumberFormat="1">
      <alignment horizontal="right" readingOrder="0" shrinkToFit="0" vertical="center" wrapText="0"/>
    </xf>
    <xf borderId="34" fillId="32" fontId="40" numFmtId="165" xfId="0" applyAlignment="1" applyBorder="1" applyFill="1" applyFont="1" applyNumberFormat="1">
      <alignment horizontal="right" readingOrder="0" shrinkToFit="0" vertical="center" wrapText="0"/>
    </xf>
    <xf borderId="34" fillId="32" fontId="40" numFmtId="165" xfId="0" applyAlignment="1" applyBorder="1" applyFill="1" applyFont="1" applyNumberFormat="1">
      <alignment horizontal="right" readingOrder="0" vertical="center"/>
    </xf>
    <xf borderId="34" fillId="32" fontId="40" numFmtId="165" xfId="0" applyAlignment="1" applyBorder="1" applyFill="1" applyFont="1" applyNumberFormat="1">
      <alignment horizontal="right" vertical="center"/>
    </xf>
    <xf borderId="34" fillId="32" fontId="40" numFmtId="165" xfId="0" applyAlignment="1" applyBorder="1" applyFill="1" applyFont="1" applyNumberFormat="1">
      <alignment horizontal="right" shrinkToFit="0" vertical="center" wrapText="0"/>
    </xf>
    <xf borderId="34" fillId="8" fontId="40" numFmtId="0" xfId="0" applyAlignment="1" applyBorder="1" applyFill="1" applyFont="1">
      <alignment readingOrder="0" shrinkToFit="0" vertical="center" wrapText="0"/>
    </xf>
    <xf borderId="34" fillId="8" fontId="40" numFmtId="164" xfId="0" applyAlignment="1" applyBorder="1" applyFill="1" applyFont="1" applyNumberFormat="1">
      <alignment horizontal="right" readingOrder="0" shrinkToFit="0" vertical="center" wrapText="0"/>
    </xf>
    <xf borderId="34" fillId="8" fontId="40" numFmtId="165" xfId="0" applyAlignment="1" applyBorder="1" applyFill="1" applyFont="1" applyNumberFormat="1">
      <alignment horizontal="right" vertical="center"/>
    </xf>
    <xf borderId="34" fillId="32" fontId="40" numFmtId="0" xfId="0" applyAlignment="1" applyBorder="1" applyFill="1" applyFont="1">
      <alignment readingOrder="0" vertical="center"/>
    </xf>
    <xf borderId="34" fillId="32" fontId="40" numFmtId="164" xfId="0" applyAlignment="1" applyBorder="1" applyFill="1" applyFont="1" applyNumberFormat="1">
      <alignment horizontal="right" readingOrder="0" vertical="center"/>
    </xf>
    <xf borderId="0" fillId="8" fontId="8" numFmtId="0" xfId="0" applyFill="1" applyFont="1"/>
    <xf borderId="34" fillId="8" fontId="40" numFmtId="0" xfId="0" applyAlignment="1" applyBorder="1" applyFill="1" applyFont="1">
      <alignment readingOrder="0" vertical="center"/>
    </xf>
    <xf borderId="34" fillId="8" fontId="40" numFmtId="164" xfId="0" applyAlignment="1" applyBorder="1" applyFill="1" applyFont="1" applyNumberFormat="1">
      <alignment horizontal="right" readingOrder="0" vertical="center"/>
    </xf>
    <xf borderId="40" fillId="13" fontId="41" numFmtId="0" xfId="0" applyAlignment="1" applyBorder="1" applyFill="1" applyFont="1">
      <alignment readingOrder="0" vertical="center"/>
    </xf>
    <xf borderId="40" fillId="0" fontId="10" numFmtId="0" xfId="0" applyBorder="1" applyFont="1"/>
    <xf borderId="40" fillId="13" fontId="41" numFmtId="164" xfId="0" applyAlignment="1" applyBorder="1" applyFill="1" applyFont="1" applyNumberFormat="1">
      <alignment horizontal="right" readingOrder="0" vertical="center"/>
    </xf>
    <xf borderId="40" fillId="13" fontId="41" numFmtId="165" xfId="0" applyAlignment="1" applyBorder="1" applyFill="1" applyFont="1" applyNumberFormat="1">
      <alignment horizontal="right" readingOrder="0" vertical="center"/>
    </xf>
    <xf borderId="40" fillId="13" fontId="41" numFmtId="165" xfId="0" applyAlignment="1" applyBorder="1" applyFill="1" applyFont="1" applyNumberFormat="1">
      <alignment horizontal="right" vertical="center"/>
    </xf>
    <xf borderId="40" fillId="13" fontId="41" numFmtId="165" xfId="0" applyAlignment="1" applyBorder="1" applyFill="1" applyFont="1" applyNumberFormat="1">
      <alignment horizontal="right" readingOrder="0" shrinkToFit="0" vertical="center" wrapText="0"/>
    </xf>
    <xf borderId="40" fillId="13" fontId="41" numFmtId="165" xfId="0" applyAlignment="1" applyBorder="1" applyFill="1" applyFont="1" applyNumberFormat="1">
      <alignment horizontal="right" shrinkToFit="0" vertical="center" wrapText="0"/>
    </xf>
    <xf borderId="23" fillId="24" fontId="29" numFmtId="0" xfId="0" applyAlignment="1" applyBorder="1" applyFill="1" applyFont="1">
      <alignment horizontal="left" readingOrder="0" vertical="center"/>
    </xf>
    <xf borderId="41" fillId="23" fontId="42" numFmtId="0" xfId="0" applyAlignment="1" applyBorder="1" applyFill="1" applyFont="1">
      <alignment readingOrder="0" vertical="center"/>
    </xf>
    <xf borderId="41" fillId="0" fontId="10" numFmtId="0" xfId="0" applyBorder="1" applyFont="1"/>
    <xf borderId="41" fillId="23" fontId="42" numFmtId="164" xfId="0" applyAlignment="1" applyBorder="1" applyFill="1" applyFont="1" applyNumberFormat="1">
      <alignment horizontal="right" readingOrder="0" vertical="center"/>
    </xf>
    <xf borderId="41" fillId="23" fontId="42" numFmtId="165" xfId="0" applyAlignment="1" applyBorder="1" applyFill="1" applyFont="1" applyNumberFormat="1">
      <alignment horizontal="right" readingOrder="0" vertical="center"/>
    </xf>
    <xf borderId="41" fillId="23" fontId="42" numFmtId="165" xfId="0" applyAlignment="1" applyBorder="1" applyFill="1" applyFont="1" applyNumberFormat="1">
      <alignment horizontal="right" vertical="center"/>
    </xf>
    <xf borderId="41" fillId="23" fontId="42" numFmtId="165" xfId="0" applyAlignment="1" applyBorder="1" applyFill="1" applyFont="1" applyNumberFormat="1">
      <alignment horizontal="right" readingOrder="0" shrinkToFit="0" vertical="center" wrapText="0"/>
    </xf>
    <xf borderId="42" fillId="38" fontId="43" numFmtId="0" xfId="0" applyAlignment="1" applyBorder="1" applyFill="1" applyFont="1">
      <alignment readingOrder="0" vertical="center"/>
    </xf>
    <xf borderId="42" fillId="38" fontId="43" numFmtId="164" xfId="0" applyAlignment="1" applyBorder="1" applyFill="1" applyFont="1" applyNumberFormat="1">
      <alignment horizontal="right" readingOrder="0" vertical="center"/>
    </xf>
    <xf borderId="42" fillId="38" fontId="43" numFmtId="165" xfId="0" applyAlignment="1" applyBorder="1" applyFill="1" applyFont="1" applyNumberFormat="1">
      <alignment horizontal="right" vertical="center"/>
    </xf>
    <xf borderId="42" fillId="38" fontId="43" numFmtId="165" xfId="0" applyAlignment="1" applyBorder="1" applyFill="1" applyFont="1" applyNumberFormat="1">
      <alignment horizontal="right" readingOrder="0" vertical="center"/>
    </xf>
    <xf borderId="42" fillId="38" fontId="43" numFmtId="165" xfId="0" applyAlignment="1" applyBorder="1" applyFill="1" applyFont="1" applyNumberFormat="1">
      <alignment horizontal="right" readingOrder="0" shrinkToFit="0" vertical="center" wrapText="0"/>
    </xf>
    <xf borderId="43" fillId="39" fontId="44" numFmtId="0" xfId="0" applyAlignment="1" applyBorder="1" applyFill="1" applyFont="1">
      <alignment readingOrder="0" vertical="center"/>
    </xf>
    <xf borderId="43" fillId="39" fontId="44" numFmtId="165" xfId="0" applyAlignment="1" applyBorder="1" applyFill="1" applyFont="1" applyNumberFormat="1">
      <alignment horizontal="right" vertical="center"/>
    </xf>
    <xf borderId="43" fillId="39" fontId="44" numFmtId="165" xfId="0" applyAlignment="1" applyBorder="1" applyFill="1" applyFont="1" applyNumberFormat="1">
      <alignment horizontal="right" readingOrder="0" vertical="center"/>
    </xf>
    <xf borderId="43" fillId="39" fontId="44" numFmtId="165" xfId="0" applyAlignment="1" applyBorder="1" applyFill="1" applyFont="1" applyNumberFormat="1">
      <alignment horizontal="right" readingOrder="0" shrinkToFit="0" vertical="center" wrapText="0"/>
    </xf>
    <xf borderId="44" fillId="40" fontId="45" numFmtId="0" xfId="0" applyAlignment="1" applyBorder="1" applyFill="1" applyFont="1">
      <alignment horizontal="center" readingOrder="0" vertical="center"/>
    </xf>
    <xf borderId="44" fillId="40" fontId="45" numFmtId="0" xfId="0" applyAlignment="1" applyBorder="1" applyFill="1" applyFont="1">
      <alignment horizontal="center" vertical="center"/>
    </xf>
    <xf borderId="44" fillId="40" fontId="45" numFmtId="3" xfId="0" applyAlignment="1" applyBorder="1" applyFill="1" applyFont="1" applyNumberFormat="1">
      <alignment horizontal="center" readingOrder="0" shrinkToFit="0" vertical="center" wrapText="0"/>
    </xf>
    <xf borderId="45" fillId="41" fontId="46" numFmtId="0" xfId="0" applyAlignment="1" applyBorder="1" applyFill="1" applyFont="1">
      <alignment readingOrder="0" vertical="center"/>
    </xf>
    <xf borderId="45" fillId="41" fontId="46" numFmtId="0" xfId="0" applyAlignment="1" applyBorder="1" applyFill="1" applyFont="1">
      <alignment horizontal="right" vertical="center"/>
    </xf>
    <xf borderId="45" fillId="41" fontId="46" numFmtId="3" xfId="0" applyAlignment="1" applyBorder="1" applyFill="1" applyFont="1" applyNumberFormat="1">
      <alignment horizontal="right" readingOrder="0" shrinkToFit="0" vertical="center" wrapText="0"/>
    </xf>
    <xf borderId="23" fillId="10" fontId="12" numFmtId="0" xfId="0" applyAlignment="1" applyBorder="1" applyFill="1" applyFont="1">
      <alignment horizontal="center" readingOrder="0" vertical="center"/>
    </xf>
    <xf borderId="0" fillId="10" fontId="12" numFmtId="0" xfId="0" applyAlignment="1" applyFill="1" applyFont="1">
      <alignment horizontal="center" readingOrder="0" vertical="center"/>
    </xf>
    <xf borderId="46" fillId="10" fontId="12" numFmtId="0" xfId="0" applyAlignment="1" applyBorder="1" applyFill="1" applyFont="1">
      <alignment horizontal="center" readingOrder="0" vertical="center"/>
    </xf>
    <xf borderId="0" fillId="8" fontId="8" numFmtId="0" xfId="0" applyAlignment="1" applyFill="1" applyFont="1">
      <alignment horizontal="right"/>
    </xf>
    <xf borderId="0" fillId="8" fontId="8" numFmtId="3" xfId="0" applyAlignment="1" applyFill="1" applyFont="1" applyNumberFormat="1">
      <alignment readingOrder="0" shrinkToFit="0" vertical="bottom" wrapText="0"/>
    </xf>
    <xf borderId="47" fillId="10" fontId="12" numFmtId="0" xfId="0" applyAlignment="1" applyBorder="1" applyFill="1" applyFont="1">
      <alignment horizontal="center" readingOrder="0" vertical="center"/>
    </xf>
    <xf borderId="48" fillId="10" fontId="12" numFmtId="0" xfId="0" applyAlignment="1" applyBorder="1" applyFill="1" applyFont="1">
      <alignment horizontal="center" readingOrder="0" vertical="center"/>
    </xf>
    <xf borderId="49" fillId="10" fontId="12" numFmtId="0" xfId="0" applyAlignment="1" applyBorder="1" applyFill="1" applyFont="1">
      <alignment horizontal="center" readingOrder="0" vertical="center"/>
    </xf>
    <xf borderId="2" fillId="10" fontId="12" numFmtId="0" xfId="0" applyAlignment="1" applyBorder="1" applyFill="1" applyFont="1">
      <alignment horizontal="center" readingOrder="0" vertical="center"/>
    </xf>
    <xf borderId="5" fillId="8" fontId="47" numFmtId="0" xfId="0" applyAlignment="1" applyBorder="1" applyFill="1" applyFont="1">
      <alignment readingOrder="0" vertical="center"/>
    </xf>
    <xf borderId="11" fillId="8" fontId="47" numFmtId="0" xfId="0" applyAlignment="1" applyBorder="1" applyFill="1" applyFont="1">
      <alignment readingOrder="0" vertical="center"/>
    </xf>
    <xf borderId="11" fillId="8" fontId="47" numFmtId="164" xfId="0" applyAlignment="1" applyBorder="1" applyFill="1" applyFont="1" applyNumberFormat="1">
      <alignment horizontal="right" vertical="center"/>
    </xf>
    <xf borderId="11" fillId="8" fontId="47" numFmtId="164" xfId="0" applyAlignment="1" applyBorder="1" applyFill="1" applyFont="1" applyNumberFormat="1">
      <alignment horizontal="right" readingOrder="0" vertical="center"/>
    </xf>
    <xf borderId="50" fillId="8" fontId="47" numFmtId="0" xfId="0" applyAlignment="1" applyBorder="1" applyFill="1" applyFont="1">
      <alignment horizontal="center" vertical="center"/>
    </xf>
    <xf borderId="10" fillId="8" fontId="47" numFmtId="0" xfId="0" applyAlignment="1" applyBorder="1" applyFill="1" applyFont="1">
      <alignment horizontal="center" vertical="center"/>
    </xf>
    <xf borderId="13" fillId="42" fontId="22" numFmtId="0" xfId="0" applyAlignment="1" applyBorder="1" applyFill="1" applyFont="1">
      <alignment readingOrder="0" vertical="center"/>
    </xf>
    <xf borderId="16" fillId="42" fontId="22" numFmtId="0" xfId="0" applyAlignment="1" applyBorder="1" applyFill="1" applyFont="1">
      <alignment vertical="center"/>
    </xf>
    <xf borderId="16" fillId="42" fontId="22" numFmtId="164" xfId="0" applyAlignment="1" applyBorder="1" applyFill="1" applyFont="1" applyNumberFormat="1">
      <alignment horizontal="right" vertical="center"/>
    </xf>
    <xf borderId="51" fillId="42" fontId="22" numFmtId="0" xfId="0" applyAlignment="1" applyBorder="1" applyFill="1" applyFont="1">
      <alignment horizontal="center" vertical="center"/>
    </xf>
    <xf borderId="52" fillId="42" fontId="22" numFmtId="0" xfId="0" applyAlignment="1" applyBorder="1" applyFill="1" applyFont="1">
      <alignment horizontal="center" vertical="center"/>
    </xf>
    <xf borderId="0" fillId="2" fontId="48" numFmtId="0" xfId="0" applyAlignment="1" applyFill="1" applyFont="1">
      <alignment readingOrder="0" vertical="center"/>
    </xf>
    <xf borderId="0" fillId="2" fontId="48" numFmtId="0" xfId="0" applyAlignment="1" applyFill="1" applyFont="1">
      <alignment vertical="center"/>
    </xf>
    <xf borderId="0" fillId="2" fontId="48" numFmtId="164" xfId="0" applyAlignment="1" applyFill="1" applyFont="1" applyNumberFormat="1">
      <alignment horizontal="right" vertical="center"/>
    </xf>
    <xf borderId="0" fillId="2" fontId="48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readingOrder="0" vertical="center"/>
    </xf>
    <xf borderId="0" fillId="43" fontId="17" numFmtId="0" xfId="0" applyFill="1" applyFont="1"/>
    <xf borderId="0" fillId="0" fontId="17" numFmtId="0" xfId="0" applyAlignment="1" applyFont="1">
      <alignment horizontal="right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5F9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11.25"/>
    <col customWidth="1" min="2" max="2" width="13.63"/>
    <col customWidth="1" min="3" max="3" width="27.13"/>
    <col customWidth="1" min="4" max="4" width="34.25"/>
    <col customWidth="1" min="5" max="43" width="12.63"/>
  </cols>
  <sheetData>
    <row r="1" ht="36.0" customHeight="1">
      <c r="A1" s="8" t="s">
        <v>3</v>
      </c>
      <c r="AR1" s="13"/>
      <c r="AS1" s="13"/>
    </row>
    <row r="2" ht="21.0" customHeight="1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3"/>
      <c r="AS2" s="13"/>
    </row>
    <row r="3" ht="25.5" customHeight="1">
      <c r="A3" s="25" t="s">
        <v>38</v>
      </c>
      <c r="B3" s="28" t="s">
        <v>40</v>
      </c>
      <c r="C3" s="30" t="s">
        <v>43</v>
      </c>
      <c r="D3" s="33" t="s">
        <v>44</v>
      </c>
      <c r="E3" s="37" t="s">
        <v>46</v>
      </c>
      <c r="F3" s="39" t="s">
        <v>49</v>
      </c>
      <c r="G3" s="25" t="s">
        <v>52</v>
      </c>
      <c r="H3" s="41"/>
      <c r="I3" s="41"/>
      <c r="J3" s="43"/>
      <c r="K3" s="44"/>
      <c r="L3" s="45"/>
      <c r="M3" s="46"/>
      <c r="N3" s="47"/>
      <c r="O3" s="45"/>
      <c r="P3" s="49"/>
      <c r="Q3" s="50"/>
      <c r="R3" s="51"/>
      <c r="S3" s="52"/>
      <c r="T3" s="45"/>
      <c r="U3" s="53"/>
      <c r="V3" s="53"/>
      <c r="W3" s="53"/>
      <c r="X3" s="53"/>
      <c r="Y3" s="53"/>
      <c r="Z3" s="53"/>
      <c r="AA3" s="52"/>
      <c r="AB3" s="45"/>
      <c r="AC3" s="53"/>
      <c r="AD3" s="53"/>
      <c r="AE3" s="53"/>
      <c r="AF3" s="5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</row>
    <row r="4" ht="28.5" customHeight="1">
      <c r="A4" s="54" t="s">
        <v>64</v>
      </c>
      <c r="B4" s="57">
        <f>AO17</f>
        <v>42300</v>
      </c>
      <c r="C4" s="59">
        <f>AO29</f>
        <v>-800</v>
      </c>
      <c r="D4" s="61">
        <f>AP32</f>
        <v>26600</v>
      </c>
      <c r="E4" s="62">
        <f>AQ33</f>
        <v>14900</v>
      </c>
      <c r="F4" s="63">
        <f>AO31</f>
        <v>41500</v>
      </c>
      <c r="G4" s="64" t="str">
        <f>IF(ROUND(F4,2)=ROUND(D4+E4,2),"BALANCED","CHECK")</f>
        <v>BALANCED</v>
      </c>
      <c r="H4" s="65"/>
      <c r="I4" s="66"/>
      <c r="J4" s="67"/>
      <c r="K4" s="44"/>
      <c r="L4" s="45"/>
      <c r="M4" s="46"/>
      <c r="N4" s="47"/>
      <c r="O4" s="45"/>
      <c r="P4" s="49"/>
      <c r="Q4" s="50"/>
      <c r="R4" s="51"/>
      <c r="S4" s="52"/>
      <c r="T4" s="45"/>
      <c r="U4" s="45"/>
      <c r="V4" s="68"/>
      <c r="W4" s="68"/>
      <c r="X4" s="68"/>
      <c r="Y4" s="68"/>
      <c r="Z4" s="68"/>
      <c r="AA4" s="52"/>
      <c r="AB4" s="45"/>
      <c r="AC4" s="52"/>
      <c r="AD4" s="52"/>
      <c r="AE4" s="52"/>
      <c r="AF4" s="52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</row>
    <row r="5" ht="12.0" customHeight="1">
      <c r="A5" s="69"/>
      <c r="B5" s="69"/>
      <c r="C5" s="70"/>
      <c r="D5" s="70"/>
      <c r="E5" s="70"/>
      <c r="F5" s="71"/>
      <c r="G5" s="72"/>
      <c r="H5" s="73"/>
      <c r="I5" s="74"/>
      <c r="J5" s="75"/>
      <c r="K5" s="44"/>
      <c r="L5" s="45"/>
      <c r="M5" s="46"/>
      <c r="N5" s="47"/>
      <c r="O5" s="45"/>
      <c r="P5" s="49"/>
      <c r="Q5" s="76"/>
      <c r="R5" s="77"/>
      <c r="S5" s="78"/>
      <c r="T5" s="45"/>
      <c r="U5" s="79"/>
      <c r="V5" s="78"/>
      <c r="W5" s="78"/>
      <c r="X5" s="78"/>
      <c r="Y5" s="78"/>
      <c r="Z5" s="78"/>
      <c r="AA5" s="52"/>
      <c r="AB5" s="45"/>
      <c r="AC5" s="80"/>
      <c r="AD5" s="45"/>
      <c r="AE5" s="45"/>
      <c r="AF5" s="45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ht="24.0" customHeight="1">
      <c r="A6" s="81" t="s">
        <v>67</v>
      </c>
      <c r="E6" s="82" t="s">
        <v>68</v>
      </c>
      <c r="G6" s="83"/>
      <c r="H6" s="82" t="s">
        <v>69</v>
      </c>
      <c r="J6" s="83"/>
      <c r="K6" s="82" t="s">
        <v>70</v>
      </c>
      <c r="M6" s="83"/>
      <c r="N6" s="82" t="s">
        <v>71</v>
      </c>
      <c r="P6" s="83"/>
      <c r="Q6" s="82" t="s">
        <v>72</v>
      </c>
      <c r="S6" s="83"/>
      <c r="T6" s="84" t="s">
        <v>73</v>
      </c>
      <c r="V6" s="83"/>
      <c r="W6" s="85" t="s">
        <v>74</v>
      </c>
      <c r="Y6" s="83"/>
      <c r="Z6" s="86" t="s">
        <v>75</v>
      </c>
      <c r="AB6" s="83"/>
      <c r="AC6" s="84" t="s">
        <v>76</v>
      </c>
      <c r="AE6" s="83"/>
      <c r="AF6" s="87" t="s">
        <v>77</v>
      </c>
      <c r="AH6" s="83"/>
      <c r="AI6" s="88" t="s">
        <v>78</v>
      </c>
      <c r="AK6" s="83"/>
      <c r="AL6" s="88" t="s">
        <v>79</v>
      </c>
      <c r="AN6" s="83"/>
      <c r="AO6" s="89" t="s">
        <v>80</v>
      </c>
      <c r="AQ6" s="90"/>
      <c r="AR6" s="13"/>
      <c r="AS6" s="13"/>
    </row>
    <row r="7" ht="22.5" customHeight="1">
      <c r="A7" s="91" t="s">
        <v>81</v>
      </c>
      <c r="B7" s="92" t="s">
        <v>82</v>
      </c>
      <c r="C7" s="92" t="s">
        <v>83</v>
      </c>
      <c r="D7" s="92" t="s">
        <v>84</v>
      </c>
      <c r="E7" s="93" t="s">
        <v>85</v>
      </c>
      <c r="F7" s="94" t="s">
        <v>86</v>
      </c>
      <c r="G7" s="95" t="s">
        <v>87</v>
      </c>
      <c r="H7" s="96" t="s">
        <v>85</v>
      </c>
      <c r="I7" s="94" t="s">
        <v>86</v>
      </c>
      <c r="J7" s="97" t="s">
        <v>87</v>
      </c>
      <c r="K7" s="96" t="s">
        <v>85</v>
      </c>
      <c r="L7" s="98" t="s">
        <v>86</v>
      </c>
      <c r="M7" s="95" t="s">
        <v>87</v>
      </c>
      <c r="N7" s="96" t="s">
        <v>85</v>
      </c>
      <c r="O7" s="98" t="s">
        <v>86</v>
      </c>
      <c r="P7" s="95" t="s">
        <v>87</v>
      </c>
      <c r="Q7" s="99" t="s">
        <v>85</v>
      </c>
      <c r="R7" s="100" t="s">
        <v>86</v>
      </c>
      <c r="S7" s="101" t="s">
        <v>87</v>
      </c>
      <c r="T7" s="102" t="s">
        <v>85</v>
      </c>
      <c r="U7" s="103" t="s">
        <v>86</v>
      </c>
      <c r="V7" s="101" t="s">
        <v>87</v>
      </c>
      <c r="W7" s="104" t="s">
        <v>85</v>
      </c>
      <c r="X7" s="105" t="s">
        <v>86</v>
      </c>
      <c r="Y7" s="106" t="s">
        <v>87</v>
      </c>
      <c r="Z7" s="107" t="s">
        <v>85</v>
      </c>
      <c r="AA7" s="108" t="s">
        <v>86</v>
      </c>
      <c r="AB7" s="109" t="s">
        <v>87</v>
      </c>
      <c r="AC7" s="107" t="s">
        <v>85</v>
      </c>
      <c r="AD7" s="103" t="s">
        <v>86</v>
      </c>
      <c r="AE7" s="106" t="s">
        <v>87</v>
      </c>
      <c r="AF7" s="104" t="s">
        <v>85</v>
      </c>
      <c r="AG7" s="103" t="s">
        <v>86</v>
      </c>
      <c r="AH7" s="109" t="s">
        <v>87</v>
      </c>
      <c r="AI7" s="102" t="s">
        <v>85</v>
      </c>
      <c r="AJ7" s="103" t="s">
        <v>86</v>
      </c>
      <c r="AK7" s="109" t="s">
        <v>87</v>
      </c>
      <c r="AL7" s="102" t="s">
        <v>85</v>
      </c>
      <c r="AM7" s="103" t="s">
        <v>86</v>
      </c>
      <c r="AN7" s="109" t="s">
        <v>87</v>
      </c>
      <c r="AO7" s="110" t="s">
        <v>88</v>
      </c>
      <c r="AP7" s="111" t="s">
        <v>89</v>
      </c>
      <c r="AQ7" s="112" t="s">
        <v>90</v>
      </c>
      <c r="AR7" s="13"/>
      <c r="AS7" s="13"/>
    </row>
    <row r="8" ht="15.75" customHeight="1">
      <c r="A8" s="113" t="s">
        <v>91</v>
      </c>
      <c r="B8" s="114" t="s">
        <v>92</v>
      </c>
      <c r="C8" s="114" t="s">
        <v>93</v>
      </c>
      <c r="D8" s="114" t="s">
        <v>94</v>
      </c>
      <c r="E8" s="115"/>
      <c r="F8" s="116" t="str">
        <f t="shared" ref="F8:F10" si="2">IF(E8="","",E8*0.5)</f>
        <v/>
      </c>
      <c r="G8" s="116" t="str">
        <f t="shared" ref="G8:G10" si="3">IF(E8="","",E8*0.5)</f>
        <v/>
      </c>
      <c r="H8" s="116">
        <v>7000.0</v>
      </c>
      <c r="I8" s="117">
        <f t="shared" ref="I8:I10" si="4">IF(H8="","",H8*0.5)</f>
        <v>3500</v>
      </c>
      <c r="J8" s="115">
        <f t="shared" ref="J8:J10" si="5">IF(H8="","",H8*0.5)</f>
        <v>3500</v>
      </c>
      <c r="K8" s="115"/>
      <c r="L8" s="117" t="str">
        <f t="shared" ref="L8:L10" si="6">IF(K8="","",K8*0.5)</f>
        <v/>
      </c>
      <c r="M8" s="115" t="str">
        <f t="shared" ref="M8:M10" si="7">IF(K8="","",K8*0.5)</f>
        <v/>
      </c>
      <c r="N8" s="115"/>
      <c r="O8" s="117" t="str">
        <f t="shared" ref="O8:O10" si="8">IF(N8="","",N8*0.5)</f>
        <v/>
      </c>
      <c r="P8" s="115" t="str">
        <f t="shared" ref="P8:P10" si="9">IF(N8="","",N8*0.5)</f>
        <v/>
      </c>
      <c r="Q8" s="115"/>
      <c r="R8" s="116" t="str">
        <f t="shared" ref="R8:R10" si="10">IF(Q8="","",Q8*0.5)</f>
        <v/>
      </c>
      <c r="S8" s="115" t="str">
        <f t="shared" ref="S8:S10" si="11">IF(Q8="","",Q8*0.5)</f>
        <v/>
      </c>
      <c r="T8" s="117"/>
      <c r="U8" s="115" t="str">
        <f t="shared" ref="U8:U10" si="12">IF(T8="","",T8*0.5)</f>
        <v/>
      </c>
      <c r="V8" s="115" t="str">
        <f t="shared" ref="V8:V10" si="13">IF(T8="","",T8*0.5)</f>
        <v/>
      </c>
      <c r="W8" s="115"/>
      <c r="X8" s="115" t="str">
        <f t="shared" ref="X8:X10" si="14">IF(W8="","",W8*0.5)</f>
        <v/>
      </c>
      <c r="Y8" s="115" t="str">
        <f t="shared" ref="Y8:Y10" si="15">IF(W8="","",W8*0.5)</f>
        <v/>
      </c>
      <c r="Z8" s="115"/>
      <c r="AA8" s="115" t="str">
        <f t="shared" ref="AA8:AA10" si="16">IF(Z8="","",Z8*0.5)</f>
        <v/>
      </c>
      <c r="AB8" s="117" t="str">
        <f t="shared" ref="AB8:AB10" si="17">IF(Z8="","",Z8*0.5)</f>
        <v/>
      </c>
      <c r="AC8" s="115"/>
      <c r="AD8" s="115" t="str">
        <f t="shared" ref="AD8:AD10" si="18">IF(AC8="","",AC8*0.5)</f>
        <v/>
      </c>
      <c r="AE8" s="115" t="str">
        <f t="shared" ref="AE8:AE10" si="19">IF(AC8="","",AC8*0.5)</f>
        <v/>
      </c>
      <c r="AF8" s="115"/>
      <c r="AG8" s="117" t="str">
        <f t="shared" ref="AG8:AG10" si="20">IF(AF8="","",AF8*0.5)</f>
        <v/>
      </c>
      <c r="AH8" s="117" t="str">
        <f t="shared" ref="AH8:AH10" si="21">IF(AF8="","",AF8*0.5)</f>
        <v/>
      </c>
      <c r="AI8" s="117"/>
      <c r="AJ8" s="117" t="str">
        <f t="shared" ref="AJ8:AJ10" si="22">IF(AI8="","",AI8*0.5)</f>
        <v/>
      </c>
      <c r="AK8" s="117" t="str">
        <f t="shared" ref="AK8:AK10" si="23">IF(AI8="","",AI8*0.5)</f>
        <v/>
      </c>
      <c r="AL8" s="117"/>
      <c r="AM8" s="117" t="str">
        <f t="shared" ref="AM8:AM10" si="24">IF(AL8="","",AL8*0.5)</f>
        <v/>
      </c>
      <c r="AN8" s="117" t="str">
        <f t="shared" ref="AN8:AN10" si="25">IF(AL8="","",AL8*0.5)</f>
        <v/>
      </c>
      <c r="AO8" s="117">
        <f t="shared" ref="AO8:AQ8" si="1">SUM(E8,H8,K8,N8,Q8,T8,W8,Z8,AC8,AF8,AI8,AL8)</f>
        <v>7000</v>
      </c>
      <c r="AP8" s="117">
        <f t="shared" si="1"/>
        <v>3500</v>
      </c>
      <c r="AQ8" s="117">
        <f t="shared" si="1"/>
        <v>3500</v>
      </c>
      <c r="AR8" s="13"/>
      <c r="AS8" s="13"/>
    </row>
    <row r="9" ht="15.75" customHeight="1">
      <c r="A9" s="118" t="s">
        <v>91</v>
      </c>
      <c r="B9" s="119" t="s">
        <v>95</v>
      </c>
      <c r="C9" s="119" t="s">
        <v>96</v>
      </c>
      <c r="D9" s="119" t="s">
        <v>94</v>
      </c>
      <c r="E9" s="120"/>
      <c r="F9" s="121" t="str">
        <f t="shared" si="2"/>
        <v/>
      </c>
      <c r="G9" s="121" t="str">
        <f t="shared" si="3"/>
        <v/>
      </c>
      <c r="H9" s="121">
        <v>7000.0</v>
      </c>
      <c r="I9" s="122">
        <f t="shared" si="4"/>
        <v>3500</v>
      </c>
      <c r="J9" s="120">
        <f t="shared" si="5"/>
        <v>3500</v>
      </c>
      <c r="K9" s="120"/>
      <c r="L9" s="122" t="str">
        <f t="shared" si="6"/>
        <v/>
      </c>
      <c r="M9" s="120" t="str">
        <f t="shared" si="7"/>
        <v/>
      </c>
      <c r="N9" s="120"/>
      <c r="O9" s="122" t="str">
        <f t="shared" si="8"/>
        <v/>
      </c>
      <c r="P9" s="120" t="str">
        <f t="shared" si="9"/>
        <v/>
      </c>
      <c r="Q9" s="120"/>
      <c r="R9" s="121" t="str">
        <f t="shared" si="10"/>
        <v/>
      </c>
      <c r="S9" s="120" t="str">
        <f t="shared" si="11"/>
        <v/>
      </c>
      <c r="T9" s="122"/>
      <c r="U9" s="120" t="str">
        <f t="shared" si="12"/>
        <v/>
      </c>
      <c r="V9" s="120" t="str">
        <f t="shared" si="13"/>
        <v/>
      </c>
      <c r="W9" s="120"/>
      <c r="X9" s="120" t="str">
        <f t="shared" si="14"/>
        <v/>
      </c>
      <c r="Y9" s="120" t="str">
        <f t="shared" si="15"/>
        <v/>
      </c>
      <c r="Z9" s="120"/>
      <c r="AA9" s="120" t="str">
        <f t="shared" si="16"/>
        <v/>
      </c>
      <c r="AB9" s="122" t="str">
        <f t="shared" si="17"/>
        <v/>
      </c>
      <c r="AC9" s="120"/>
      <c r="AD9" s="120" t="str">
        <f t="shared" si="18"/>
        <v/>
      </c>
      <c r="AE9" s="120" t="str">
        <f t="shared" si="19"/>
        <v/>
      </c>
      <c r="AF9" s="120"/>
      <c r="AG9" s="122" t="str">
        <f t="shared" si="20"/>
        <v/>
      </c>
      <c r="AH9" s="122" t="str">
        <f t="shared" si="21"/>
        <v/>
      </c>
      <c r="AI9" s="122"/>
      <c r="AJ9" s="122" t="str">
        <f t="shared" si="22"/>
        <v/>
      </c>
      <c r="AK9" s="122" t="str">
        <f t="shared" si="23"/>
        <v/>
      </c>
      <c r="AL9" s="122"/>
      <c r="AM9" s="122" t="str">
        <f t="shared" si="24"/>
        <v/>
      </c>
      <c r="AN9" s="122" t="str">
        <f t="shared" si="25"/>
        <v/>
      </c>
      <c r="AO9" s="122">
        <f t="shared" ref="AO9:AQ9" si="26">SUM(E9,H9,K9,N9,Q9,T9,W9,Z9,AC9,AF9,AI9,AL9)</f>
        <v>7000</v>
      </c>
      <c r="AP9" s="122">
        <f t="shared" si="26"/>
        <v>3500</v>
      </c>
      <c r="AQ9" s="122">
        <f t="shared" si="26"/>
        <v>3500</v>
      </c>
      <c r="AR9" s="13"/>
      <c r="AS9" s="13"/>
    </row>
    <row r="10" ht="15.75" customHeight="1">
      <c r="A10" s="113" t="s">
        <v>91</v>
      </c>
      <c r="B10" s="114" t="s">
        <v>97</v>
      </c>
      <c r="C10" s="114" t="s">
        <v>98</v>
      </c>
      <c r="D10" s="114" t="s">
        <v>94</v>
      </c>
      <c r="E10" s="115"/>
      <c r="F10" s="116" t="str">
        <f t="shared" si="2"/>
        <v/>
      </c>
      <c r="G10" s="116" t="str">
        <f t="shared" si="3"/>
        <v/>
      </c>
      <c r="H10" s="116">
        <v>2000.0</v>
      </c>
      <c r="I10" s="117">
        <f t="shared" si="4"/>
        <v>1000</v>
      </c>
      <c r="J10" s="115">
        <f t="shared" si="5"/>
        <v>1000</v>
      </c>
      <c r="K10" s="115"/>
      <c r="L10" s="117" t="str">
        <f t="shared" si="6"/>
        <v/>
      </c>
      <c r="M10" s="115" t="str">
        <f t="shared" si="7"/>
        <v/>
      </c>
      <c r="N10" s="116"/>
      <c r="O10" s="117" t="str">
        <f t="shared" si="8"/>
        <v/>
      </c>
      <c r="P10" s="115" t="str">
        <f t="shared" si="9"/>
        <v/>
      </c>
      <c r="Q10" s="117"/>
      <c r="R10" s="116" t="str">
        <f t="shared" si="10"/>
        <v/>
      </c>
      <c r="S10" s="115" t="str">
        <f t="shared" si="11"/>
        <v/>
      </c>
      <c r="T10" s="117"/>
      <c r="U10" s="115" t="str">
        <f t="shared" si="12"/>
        <v/>
      </c>
      <c r="V10" s="115" t="str">
        <f t="shared" si="13"/>
        <v/>
      </c>
      <c r="W10" s="115"/>
      <c r="X10" s="115" t="str">
        <f t="shared" si="14"/>
        <v/>
      </c>
      <c r="Y10" s="115" t="str">
        <f t="shared" si="15"/>
        <v/>
      </c>
      <c r="Z10" s="115"/>
      <c r="AA10" s="115" t="str">
        <f t="shared" si="16"/>
        <v/>
      </c>
      <c r="AB10" s="117" t="str">
        <f t="shared" si="17"/>
        <v/>
      </c>
      <c r="AC10" s="115"/>
      <c r="AD10" s="115" t="str">
        <f t="shared" si="18"/>
        <v/>
      </c>
      <c r="AE10" s="115" t="str">
        <f t="shared" si="19"/>
        <v/>
      </c>
      <c r="AF10" s="115"/>
      <c r="AG10" s="117" t="str">
        <f t="shared" si="20"/>
        <v/>
      </c>
      <c r="AH10" s="117" t="str">
        <f t="shared" si="21"/>
        <v/>
      </c>
      <c r="AI10" s="117"/>
      <c r="AJ10" s="117" t="str">
        <f t="shared" si="22"/>
        <v/>
      </c>
      <c r="AK10" s="117" t="str">
        <f t="shared" si="23"/>
        <v/>
      </c>
      <c r="AL10" s="117"/>
      <c r="AM10" s="117" t="str">
        <f t="shared" si="24"/>
        <v/>
      </c>
      <c r="AN10" s="117" t="str">
        <f t="shared" si="25"/>
        <v/>
      </c>
      <c r="AO10" s="117">
        <f t="shared" ref="AO10:AQ10" si="27">SUM(E10,H10,K10,N10,Q10,T10,W10,Z10,AC10,AF10,AI10,AL10)</f>
        <v>2000</v>
      </c>
      <c r="AP10" s="117">
        <f t="shared" si="27"/>
        <v>1000</v>
      </c>
      <c r="AQ10" s="117">
        <f t="shared" si="27"/>
        <v>1000</v>
      </c>
      <c r="AR10" s="13"/>
      <c r="AS10" s="13"/>
    </row>
    <row r="11" ht="15.75" customHeight="1">
      <c r="A11" s="118" t="s">
        <v>91</v>
      </c>
      <c r="B11" s="119" t="s">
        <v>99</v>
      </c>
      <c r="C11" s="119" t="s">
        <v>100</v>
      </c>
      <c r="D11" s="119" t="s">
        <v>101</v>
      </c>
      <c r="E11" s="120"/>
      <c r="F11" s="121" t="str">
        <f t="shared" ref="F11:F13" si="29">IF(E11="","",E11)</f>
        <v/>
      </c>
      <c r="G11" s="121" t="str">
        <f t="shared" ref="G11:G13" si="30">IF(E11="","",0)</f>
        <v/>
      </c>
      <c r="H11" s="121">
        <v>4000.0</v>
      </c>
      <c r="I11" s="122">
        <f t="shared" ref="I11:I13" si="31">IF(H11="","",H11)</f>
        <v>4000</v>
      </c>
      <c r="J11" s="120">
        <f t="shared" ref="J11:J13" si="32">IF(H11="","",0)</f>
        <v>0</v>
      </c>
      <c r="K11" s="120"/>
      <c r="L11" s="122" t="str">
        <f t="shared" ref="L11:L13" si="33">IF(K11="","",K11)</f>
        <v/>
      </c>
      <c r="M11" s="120" t="str">
        <f t="shared" ref="M11:M13" si="34">IF(K11="","",0)</f>
        <v/>
      </c>
      <c r="N11" s="120"/>
      <c r="O11" s="122" t="str">
        <f t="shared" ref="O11:O13" si="35">IF(N11="","",N11)</f>
        <v/>
      </c>
      <c r="P11" s="122" t="str">
        <f t="shared" ref="P11:P13" si="36">IF(N11="","",0)</f>
        <v/>
      </c>
      <c r="Q11" s="122"/>
      <c r="R11" s="121" t="str">
        <f t="shared" ref="R11:R13" si="37">IF(Q11="","",Q11)</f>
        <v/>
      </c>
      <c r="S11" s="120" t="str">
        <f t="shared" ref="S11:S13" si="38">IF(Q11="","",0)</f>
        <v/>
      </c>
      <c r="T11" s="122"/>
      <c r="U11" s="120" t="str">
        <f t="shared" ref="U11:U13" si="39">IF(T11="","",T11)</f>
        <v/>
      </c>
      <c r="V11" s="120" t="str">
        <f t="shared" ref="V11:V13" si="40">IF(T11="","",0)</f>
        <v/>
      </c>
      <c r="W11" s="120"/>
      <c r="X11" s="120" t="str">
        <f t="shared" ref="X11:X13" si="41">IF(W11="","",W11)</f>
        <v/>
      </c>
      <c r="Y11" s="120" t="str">
        <f t="shared" ref="Y11:Y13" si="42">IF(W11="","",0)</f>
        <v/>
      </c>
      <c r="Z11" s="120"/>
      <c r="AA11" s="120" t="str">
        <f t="shared" ref="AA11:AA13" si="43">IF(Z11="","",Z11)</f>
        <v/>
      </c>
      <c r="AB11" s="122" t="str">
        <f t="shared" ref="AB11:AB13" si="44">IF(Z11="","",0)</f>
        <v/>
      </c>
      <c r="AC11" s="120"/>
      <c r="AD11" s="120" t="str">
        <f t="shared" ref="AD11:AD13" si="45">IF(AC11="","",AC11)</f>
        <v/>
      </c>
      <c r="AE11" s="120" t="str">
        <f t="shared" ref="AE11:AE13" si="46">IF(AC11="","",0)</f>
        <v/>
      </c>
      <c r="AF11" s="120"/>
      <c r="AG11" s="122" t="str">
        <f t="shared" ref="AG11:AG13" si="47">IF(AF11="","",AF11)</f>
        <v/>
      </c>
      <c r="AH11" s="122" t="str">
        <f t="shared" ref="AH11:AH13" si="48">IF(AF11="","",0)</f>
        <v/>
      </c>
      <c r="AI11" s="122"/>
      <c r="AJ11" s="122" t="str">
        <f t="shared" ref="AJ11:AJ13" si="49">IF(AI11="","",AI11)</f>
        <v/>
      </c>
      <c r="AK11" s="122" t="str">
        <f t="shared" ref="AK11:AK13" si="50">IF(AI11="","",0)</f>
        <v/>
      </c>
      <c r="AL11" s="122"/>
      <c r="AM11" s="122" t="str">
        <f t="shared" ref="AM11:AM13" si="51">IF(AL11="","",AL11)</f>
        <v/>
      </c>
      <c r="AN11" s="122" t="str">
        <f t="shared" ref="AN11:AN13" si="52">IF(AL11="","",0)</f>
        <v/>
      </c>
      <c r="AO11" s="122">
        <f t="shared" ref="AO11:AQ11" si="28">SUM(E11,H11,K11,N11,Q11,T11,W11,Z11,AC11,AF11,AI11,AL11)</f>
        <v>4000</v>
      </c>
      <c r="AP11" s="122">
        <f t="shared" si="28"/>
        <v>4000</v>
      </c>
      <c r="AQ11" s="122">
        <f t="shared" si="28"/>
        <v>0</v>
      </c>
      <c r="AR11" s="13"/>
      <c r="AS11" s="13"/>
    </row>
    <row r="12" ht="15.75" customHeight="1">
      <c r="A12" s="113" t="s">
        <v>91</v>
      </c>
      <c r="B12" s="114" t="s">
        <v>102</v>
      </c>
      <c r="C12" s="114" t="s">
        <v>103</v>
      </c>
      <c r="D12" s="114" t="s">
        <v>101</v>
      </c>
      <c r="E12" s="115"/>
      <c r="F12" s="116" t="str">
        <f t="shared" si="29"/>
        <v/>
      </c>
      <c r="G12" s="123" t="str">
        <f t="shared" si="30"/>
        <v/>
      </c>
      <c r="H12" s="116">
        <v>4000.0</v>
      </c>
      <c r="I12" s="117">
        <f t="shared" si="31"/>
        <v>4000</v>
      </c>
      <c r="J12" s="115">
        <f t="shared" si="32"/>
        <v>0</v>
      </c>
      <c r="K12" s="115"/>
      <c r="L12" s="117" t="str">
        <f t="shared" si="33"/>
        <v/>
      </c>
      <c r="M12" s="115" t="str">
        <f t="shared" si="34"/>
        <v/>
      </c>
      <c r="N12" s="115"/>
      <c r="O12" s="117" t="str">
        <f t="shared" si="35"/>
        <v/>
      </c>
      <c r="P12" s="117" t="str">
        <f t="shared" si="36"/>
        <v/>
      </c>
      <c r="Q12" s="117"/>
      <c r="R12" s="116" t="str">
        <f t="shared" si="37"/>
        <v/>
      </c>
      <c r="S12" s="115" t="str">
        <f t="shared" si="38"/>
        <v/>
      </c>
      <c r="T12" s="115"/>
      <c r="U12" s="115" t="str">
        <f t="shared" si="39"/>
        <v/>
      </c>
      <c r="V12" s="115" t="str">
        <f t="shared" si="40"/>
        <v/>
      </c>
      <c r="W12" s="115"/>
      <c r="X12" s="115" t="str">
        <f t="shared" si="41"/>
        <v/>
      </c>
      <c r="Y12" s="115" t="str">
        <f t="shared" si="42"/>
        <v/>
      </c>
      <c r="Z12" s="115"/>
      <c r="AA12" s="115" t="str">
        <f t="shared" si="43"/>
        <v/>
      </c>
      <c r="AB12" s="117" t="str">
        <f t="shared" si="44"/>
        <v/>
      </c>
      <c r="AC12" s="115"/>
      <c r="AD12" s="115" t="str">
        <f t="shared" si="45"/>
        <v/>
      </c>
      <c r="AE12" s="115" t="str">
        <f t="shared" si="46"/>
        <v/>
      </c>
      <c r="AF12" s="115"/>
      <c r="AG12" s="117" t="str">
        <f t="shared" si="47"/>
        <v/>
      </c>
      <c r="AH12" s="117" t="str">
        <f t="shared" si="48"/>
        <v/>
      </c>
      <c r="AI12" s="117"/>
      <c r="AJ12" s="117" t="str">
        <f t="shared" si="49"/>
        <v/>
      </c>
      <c r="AK12" s="117" t="str">
        <f t="shared" si="50"/>
        <v/>
      </c>
      <c r="AL12" s="117"/>
      <c r="AM12" s="117" t="str">
        <f t="shared" si="51"/>
        <v/>
      </c>
      <c r="AN12" s="117" t="str">
        <f t="shared" si="52"/>
        <v/>
      </c>
      <c r="AO12" s="117">
        <f t="shared" ref="AO12:AQ12" si="53">SUM(E12,H12,K12,N12,Q12,T12,W12,Z12,AC12,AF12,AI12,AL12)</f>
        <v>4000</v>
      </c>
      <c r="AP12" s="117">
        <f t="shared" si="53"/>
        <v>4000</v>
      </c>
      <c r="AQ12" s="117">
        <f t="shared" si="53"/>
        <v>0</v>
      </c>
      <c r="AR12" s="13"/>
      <c r="AS12" s="13"/>
    </row>
    <row r="13" ht="15.75" customHeight="1">
      <c r="A13" s="118" t="s">
        <v>91</v>
      </c>
      <c r="B13" s="119" t="s">
        <v>104</v>
      </c>
      <c r="C13" s="119" t="s">
        <v>105</v>
      </c>
      <c r="D13" s="119" t="s">
        <v>101</v>
      </c>
      <c r="E13" s="120"/>
      <c r="F13" s="121" t="str">
        <f t="shared" si="29"/>
        <v/>
      </c>
      <c r="G13" s="124" t="str">
        <f t="shared" si="30"/>
        <v/>
      </c>
      <c r="H13" s="121">
        <v>11000.0</v>
      </c>
      <c r="I13" s="122">
        <f t="shared" si="31"/>
        <v>11000</v>
      </c>
      <c r="J13" s="120">
        <f t="shared" si="32"/>
        <v>0</v>
      </c>
      <c r="K13" s="122"/>
      <c r="L13" s="122" t="str">
        <f t="shared" si="33"/>
        <v/>
      </c>
      <c r="M13" s="121" t="str">
        <f t="shared" si="34"/>
        <v/>
      </c>
      <c r="N13" s="120"/>
      <c r="O13" s="122" t="str">
        <f t="shared" si="35"/>
        <v/>
      </c>
      <c r="P13" s="122" t="str">
        <f t="shared" si="36"/>
        <v/>
      </c>
      <c r="Q13" s="120"/>
      <c r="R13" s="120" t="str">
        <f t="shared" si="37"/>
        <v/>
      </c>
      <c r="S13" s="120" t="str">
        <f t="shared" si="38"/>
        <v/>
      </c>
      <c r="T13" s="122"/>
      <c r="U13" s="120" t="str">
        <f t="shared" si="39"/>
        <v/>
      </c>
      <c r="V13" s="120" t="str">
        <f t="shared" si="40"/>
        <v/>
      </c>
      <c r="W13" s="120"/>
      <c r="X13" s="120" t="str">
        <f t="shared" si="41"/>
        <v/>
      </c>
      <c r="Y13" s="120" t="str">
        <f t="shared" si="42"/>
        <v/>
      </c>
      <c r="Z13" s="120"/>
      <c r="AA13" s="120" t="str">
        <f t="shared" si="43"/>
        <v/>
      </c>
      <c r="AB13" s="122" t="str">
        <f t="shared" si="44"/>
        <v/>
      </c>
      <c r="AC13" s="120"/>
      <c r="AD13" s="120" t="str">
        <f t="shared" si="45"/>
        <v/>
      </c>
      <c r="AE13" s="120" t="str">
        <f t="shared" si="46"/>
        <v/>
      </c>
      <c r="AF13" s="120"/>
      <c r="AG13" s="122" t="str">
        <f t="shared" si="47"/>
        <v/>
      </c>
      <c r="AH13" s="122" t="str">
        <f t="shared" si="48"/>
        <v/>
      </c>
      <c r="AI13" s="122"/>
      <c r="AJ13" s="122" t="str">
        <f t="shared" si="49"/>
        <v/>
      </c>
      <c r="AK13" s="122" t="str">
        <f t="shared" si="50"/>
        <v/>
      </c>
      <c r="AL13" s="122"/>
      <c r="AM13" s="122" t="str">
        <f t="shared" si="51"/>
        <v/>
      </c>
      <c r="AN13" s="122" t="str">
        <f t="shared" si="52"/>
        <v/>
      </c>
      <c r="AO13" s="122">
        <f t="shared" ref="AO13:AQ13" si="54">SUM(E13,H13,K13,N13,Q13,T13,W13,Z13,AC13,AF13,AI13,AL13)</f>
        <v>11000</v>
      </c>
      <c r="AP13" s="122">
        <f t="shared" si="54"/>
        <v>11000</v>
      </c>
      <c r="AQ13" s="122">
        <f t="shared" si="54"/>
        <v>0</v>
      </c>
      <c r="AR13" s="13"/>
      <c r="AS13" s="13"/>
    </row>
    <row r="14" ht="15.75" customHeight="1">
      <c r="A14" s="113" t="s">
        <v>91</v>
      </c>
      <c r="B14" s="114" t="s">
        <v>106</v>
      </c>
      <c r="C14" s="114" t="s">
        <v>107</v>
      </c>
      <c r="D14" s="114" t="s">
        <v>108</v>
      </c>
      <c r="E14" s="115"/>
      <c r="F14" s="116" t="str">
        <f t="shared" ref="F14:F16" si="56">IF(E14="","",0)</f>
        <v/>
      </c>
      <c r="G14" s="123" t="str">
        <f t="shared" ref="G14:G16" si="57">IF(E14="","",E14)</f>
        <v/>
      </c>
      <c r="H14" s="116">
        <v>5000.0</v>
      </c>
      <c r="I14" s="117">
        <f t="shared" ref="I14:I16" si="58">IF(H14="","",0)</f>
        <v>0</v>
      </c>
      <c r="J14" s="115">
        <f t="shared" ref="J14:J16" si="59">IF(H14="","",H14)</f>
        <v>5000</v>
      </c>
      <c r="K14" s="115"/>
      <c r="L14" s="117" t="str">
        <f t="shared" ref="L14:L16" si="60">IF(K14="","",0)</f>
        <v/>
      </c>
      <c r="M14" s="115" t="str">
        <f t="shared" ref="M14:M16" si="61">IF(K14="","",K14)</f>
        <v/>
      </c>
      <c r="N14" s="115"/>
      <c r="O14" s="117" t="str">
        <f t="shared" ref="O14:O16" si="62">IF(N14="","",0)</f>
        <v/>
      </c>
      <c r="P14" s="117" t="str">
        <f t="shared" ref="P14:P16" si="63">IF(N14="","",N14)</f>
        <v/>
      </c>
      <c r="Q14" s="117"/>
      <c r="R14" s="115" t="str">
        <f t="shared" ref="R14:R16" si="64">IF(Q14="","",0)</f>
        <v/>
      </c>
      <c r="S14" s="115" t="str">
        <f t="shared" ref="S14:S16" si="65">IF(Q14="","",Q14)</f>
        <v/>
      </c>
      <c r="T14" s="117"/>
      <c r="U14" s="115" t="str">
        <f t="shared" ref="U14:U16" si="66">IF(T14="","",0)</f>
        <v/>
      </c>
      <c r="V14" s="115" t="str">
        <f t="shared" ref="V14:V16" si="67">IF(T14="","",T14)</f>
        <v/>
      </c>
      <c r="W14" s="115"/>
      <c r="X14" s="115" t="str">
        <f t="shared" ref="X14:X16" si="68">IF(W14="","",0)</f>
        <v/>
      </c>
      <c r="Y14" s="115" t="str">
        <f t="shared" ref="Y14:Y16" si="69">IF(W14="","",W14)</f>
        <v/>
      </c>
      <c r="Z14" s="115"/>
      <c r="AA14" s="117" t="str">
        <f t="shared" ref="AA14:AA16" si="70">IF(Z14="","",0)</f>
        <v/>
      </c>
      <c r="AB14" s="123" t="str">
        <f t="shared" ref="AB14:AB16" si="71">IF(Z14="","",Z14)</f>
        <v/>
      </c>
      <c r="AC14" s="115"/>
      <c r="AD14" s="117" t="str">
        <f t="shared" ref="AD14:AD16" si="72">IF(AC14="","",0)</f>
        <v/>
      </c>
      <c r="AE14" s="117" t="str">
        <f t="shared" ref="AE14:AE16" si="73">IF(AC14="","",AC14)</f>
        <v/>
      </c>
      <c r="AF14" s="115"/>
      <c r="AG14" s="117" t="str">
        <f t="shared" ref="AG14:AG16" si="74">IF(AF14="","",0)</f>
        <v/>
      </c>
      <c r="AH14" s="117" t="str">
        <f t="shared" ref="AH14:AH16" si="75">IF(AF14="","",AF14)</f>
        <v/>
      </c>
      <c r="AI14" s="117"/>
      <c r="AJ14" s="117" t="str">
        <f t="shared" ref="AJ14:AJ16" si="76">IF(AI14="","",0)</f>
        <v/>
      </c>
      <c r="AK14" s="117" t="str">
        <f t="shared" ref="AK14:AK16" si="77">IF(AI14="","",AI14)</f>
        <v/>
      </c>
      <c r="AL14" s="117"/>
      <c r="AM14" s="117" t="str">
        <f t="shared" ref="AM14:AM16" si="78">IF(AL14="","",0)</f>
        <v/>
      </c>
      <c r="AN14" s="117" t="str">
        <f t="shared" ref="AN14:AN16" si="79">IF(AL14="","",AL14)</f>
        <v/>
      </c>
      <c r="AO14" s="117">
        <f t="shared" ref="AO14:AQ14" si="55">SUM(E14,H14,K14,N14,Q14,T14,W14,Z14,AC14,AF14,AI14,AL14)</f>
        <v>5000</v>
      </c>
      <c r="AP14" s="117">
        <f t="shared" si="55"/>
        <v>0</v>
      </c>
      <c r="AQ14" s="117">
        <f t="shared" si="55"/>
        <v>5000</v>
      </c>
      <c r="AR14" s="13"/>
      <c r="AS14" s="13"/>
    </row>
    <row r="15" ht="15.75" customHeight="1">
      <c r="A15" s="118" t="s">
        <v>91</v>
      </c>
      <c r="B15" s="119" t="s">
        <v>109</v>
      </c>
      <c r="C15" s="119" t="s">
        <v>110</v>
      </c>
      <c r="D15" s="119" t="s">
        <v>108</v>
      </c>
      <c r="E15" s="120"/>
      <c r="F15" s="120" t="str">
        <f t="shared" si="56"/>
        <v/>
      </c>
      <c r="G15" s="124" t="str">
        <f t="shared" si="57"/>
        <v/>
      </c>
      <c r="H15" s="121">
        <v>1300.0</v>
      </c>
      <c r="I15" s="122">
        <f t="shared" si="58"/>
        <v>0</v>
      </c>
      <c r="J15" s="120">
        <f t="shared" si="59"/>
        <v>1300</v>
      </c>
      <c r="K15" s="120"/>
      <c r="L15" s="122" t="str">
        <f t="shared" si="60"/>
        <v/>
      </c>
      <c r="M15" s="122" t="str">
        <f t="shared" si="61"/>
        <v/>
      </c>
      <c r="N15" s="122"/>
      <c r="O15" s="122" t="str">
        <f t="shared" si="62"/>
        <v/>
      </c>
      <c r="P15" s="122" t="str">
        <f t="shared" si="63"/>
        <v/>
      </c>
      <c r="Q15" s="122"/>
      <c r="R15" s="124" t="str">
        <f t="shared" si="64"/>
        <v/>
      </c>
      <c r="S15" s="120" t="str">
        <f t="shared" si="65"/>
        <v/>
      </c>
      <c r="T15" s="122"/>
      <c r="U15" s="120" t="str">
        <f t="shared" si="66"/>
        <v/>
      </c>
      <c r="V15" s="122" t="str">
        <f t="shared" si="67"/>
        <v/>
      </c>
      <c r="W15" s="120"/>
      <c r="X15" s="120" t="str">
        <f t="shared" si="68"/>
        <v/>
      </c>
      <c r="Y15" s="120" t="str">
        <f t="shared" si="69"/>
        <v/>
      </c>
      <c r="Z15" s="122"/>
      <c r="AA15" s="120" t="str">
        <f t="shared" si="70"/>
        <v/>
      </c>
      <c r="AB15" s="124" t="str">
        <f t="shared" si="71"/>
        <v/>
      </c>
      <c r="AC15" s="122"/>
      <c r="AD15" s="122" t="str">
        <f t="shared" si="72"/>
        <v/>
      </c>
      <c r="AE15" s="122" t="str">
        <f t="shared" si="73"/>
        <v/>
      </c>
      <c r="AF15" s="122"/>
      <c r="AG15" s="122" t="str">
        <f t="shared" si="74"/>
        <v/>
      </c>
      <c r="AH15" s="122" t="str">
        <f t="shared" si="75"/>
        <v/>
      </c>
      <c r="AI15" s="122"/>
      <c r="AJ15" s="122" t="str">
        <f t="shared" si="76"/>
        <v/>
      </c>
      <c r="AK15" s="122" t="str">
        <f t="shared" si="77"/>
        <v/>
      </c>
      <c r="AL15" s="122"/>
      <c r="AM15" s="122" t="str">
        <f t="shared" si="78"/>
        <v/>
      </c>
      <c r="AN15" s="122" t="str">
        <f t="shared" si="79"/>
        <v/>
      </c>
      <c r="AO15" s="122">
        <f t="shared" ref="AO15:AQ15" si="80">SUM(E15,H15,K15,N15,Q15,T15,W15,Z15,AC15,AF15,AI15,AL15)</f>
        <v>1300</v>
      </c>
      <c r="AP15" s="122">
        <f t="shared" si="80"/>
        <v>0</v>
      </c>
      <c r="AQ15" s="122">
        <f t="shared" si="80"/>
        <v>1300</v>
      </c>
      <c r="AR15" s="13"/>
      <c r="AS15" s="13"/>
    </row>
    <row r="16" ht="15.75" customHeight="1">
      <c r="A16" s="113" t="s">
        <v>91</v>
      </c>
      <c r="B16" s="114" t="s">
        <v>111</v>
      </c>
      <c r="C16" s="114" t="s">
        <v>112</v>
      </c>
      <c r="D16" s="114" t="s">
        <v>108</v>
      </c>
      <c r="E16" s="117"/>
      <c r="F16" s="116" t="str">
        <f t="shared" si="56"/>
        <v/>
      </c>
      <c r="G16" s="123" t="str">
        <f t="shared" si="57"/>
        <v/>
      </c>
      <c r="H16" s="116">
        <v>1000.0</v>
      </c>
      <c r="I16" s="117">
        <f t="shared" si="58"/>
        <v>0</v>
      </c>
      <c r="J16" s="115">
        <f t="shared" si="59"/>
        <v>1000</v>
      </c>
      <c r="K16" s="117"/>
      <c r="L16" s="117" t="str">
        <f t="shared" si="60"/>
        <v/>
      </c>
      <c r="M16" s="115" t="str">
        <f t="shared" si="61"/>
        <v/>
      </c>
      <c r="N16" s="123"/>
      <c r="O16" s="123" t="str">
        <f t="shared" si="62"/>
        <v/>
      </c>
      <c r="P16" s="117" t="str">
        <f t="shared" si="63"/>
        <v/>
      </c>
      <c r="Q16" s="117"/>
      <c r="R16" s="117" t="str">
        <f t="shared" si="64"/>
        <v/>
      </c>
      <c r="S16" s="115" t="str">
        <f t="shared" si="65"/>
        <v/>
      </c>
      <c r="T16" s="123"/>
      <c r="U16" s="117" t="str">
        <f t="shared" si="66"/>
        <v/>
      </c>
      <c r="V16" s="117" t="str">
        <f t="shared" si="67"/>
        <v/>
      </c>
      <c r="W16" s="117"/>
      <c r="X16" s="117" t="str">
        <f t="shared" si="68"/>
        <v/>
      </c>
      <c r="Y16" s="117" t="str">
        <f t="shared" si="69"/>
        <v/>
      </c>
      <c r="Z16" s="117"/>
      <c r="AA16" s="115" t="str">
        <f t="shared" si="70"/>
        <v/>
      </c>
      <c r="AB16" s="123" t="str">
        <f t="shared" si="71"/>
        <v/>
      </c>
      <c r="AC16" s="117"/>
      <c r="AD16" s="117" t="str">
        <f t="shared" si="72"/>
        <v/>
      </c>
      <c r="AE16" s="117" t="str">
        <f t="shared" si="73"/>
        <v/>
      </c>
      <c r="AF16" s="117"/>
      <c r="AG16" s="117" t="str">
        <f t="shared" si="74"/>
        <v/>
      </c>
      <c r="AH16" s="117" t="str">
        <f t="shared" si="75"/>
        <v/>
      </c>
      <c r="AI16" s="117"/>
      <c r="AJ16" s="117" t="str">
        <f t="shared" si="76"/>
        <v/>
      </c>
      <c r="AK16" s="117" t="str">
        <f t="shared" si="77"/>
        <v/>
      </c>
      <c r="AL16" s="117"/>
      <c r="AM16" s="117" t="str">
        <f t="shared" si="78"/>
        <v/>
      </c>
      <c r="AN16" s="117" t="str">
        <f t="shared" si="79"/>
        <v/>
      </c>
      <c r="AO16" s="117">
        <f t="shared" ref="AO16:AQ16" si="81">SUM(E16,H16,K16,N16,Q16,T16,W16,Z16,AC16,AF16,AI16,AL16)</f>
        <v>1000</v>
      </c>
      <c r="AP16" s="117">
        <f t="shared" si="81"/>
        <v>0</v>
      </c>
      <c r="AQ16" s="117">
        <f t="shared" si="81"/>
        <v>1000</v>
      </c>
      <c r="AR16" s="13"/>
      <c r="AS16" s="13"/>
    </row>
    <row r="17" ht="15.75" customHeight="1">
      <c r="A17" s="125" t="s">
        <v>91</v>
      </c>
      <c r="B17" s="126"/>
      <c r="C17" s="127"/>
      <c r="D17" s="127" t="s">
        <v>113</v>
      </c>
      <c r="E17" s="128">
        <f t="shared" ref="E17:AQ17" si="82">SUM(E8:E16)</f>
        <v>0</v>
      </c>
      <c r="F17" s="129">
        <f t="shared" si="82"/>
        <v>0</v>
      </c>
      <c r="G17" s="129">
        <f t="shared" si="82"/>
        <v>0</v>
      </c>
      <c r="H17" s="128">
        <f t="shared" si="82"/>
        <v>42300</v>
      </c>
      <c r="I17" s="130">
        <f t="shared" si="82"/>
        <v>27000</v>
      </c>
      <c r="J17" s="128">
        <f t="shared" si="82"/>
        <v>15300</v>
      </c>
      <c r="K17" s="128">
        <f t="shared" si="82"/>
        <v>0</v>
      </c>
      <c r="L17" s="130">
        <f t="shared" si="82"/>
        <v>0</v>
      </c>
      <c r="M17" s="130">
        <f t="shared" si="82"/>
        <v>0</v>
      </c>
      <c r="N17" s="129">
        <f t="shared" si="82"/>
        <v>0</v>
      </c>
      <c r="O17" s="129">
        <f t="shared" si="82"/>
        <v>0</v>
      </c>
      <c r="P17" s="128">
        <f t="shared" si="82"/>
        <v>0</v>
      </c>
      <c r="Q17" s="130">
        <f t="shared" si="82"/>
        <v>0</v>
      </c>
      <c r="R17" s="130">
        <f t="shared" si="82"/>
        <v>0</v>
      </c>
      <c r="S17" s="130">
        <f t="shared" si="82"/>
        <v>0</v>
      </c>
      <c r="T17" s="130">
        <f t="shared" si="82"/>
        <v>0</v>
      </c>
      <c r="U17" s="128">
        <f t="shared" si="82"/>
        <v>0</v>
      </c>
      <c r="V17" s="128">
        <f t="shared" si="82"/>
        <v>0</v>
      </c>
      <c r="W17" s="128">
        <f t="shared" si="82"/>
        <v>0</v>
      </c>
      <c r="X17" s="128">
        <f t="shared" si="82"/>
        <v>0</v>
      </c>
      <c r="Y17" s="128">
        <f t="shared" si="82"/>
        <v>0</v>
      </c>
      <c r="Z17" s="128">
        <f t="shared" si="82"/>
        <v>0</v>
      </c>
      <c r="AA17" s="128">
        <f t="shared" si="82"/>
        <v>0</v>
      </c>
      <c r="AB17" s="129">
        <f t="shared" si="82"/>
        <v>0</v>
      </c>
      <c r="AC17" s="128">
        <f t="shared" si="82"/>
        <v>0</v>
      </c>
      <c r="AD17" s="128">
        <f t="shared" si="82"/>
        <v>0</v>
      </c>
      <c r="AE17" s="128">
        <f t="shared" si="82"/>
        <v>0</v>
      </c>
      <c r="AF17" s="130">
        <f t="shared" si="82"/>
        <v>0</v>
      </c>
      <c r="AG17" s="130">
        <f t="shared" si="82"/>
        <v>0</v>
      </c>
      <c r="AH17" s="130">
        <f t="shared" si="82"/>
        <v>0</v>
      </c>
      <c r="AI17" s="130">
        <f t="shared" si="82"/>
        <v>0</v>
      </c>
      <c r="AJ17" s="130">
        <f t="shared" si="82"/>
        <v>0</v>
      </c>
      <c r="AK17" s="130">
        <f t="shared" si="82"/>
        <v>0</v>
      </c>
      <c r="AL17" s="130">
        <f t="shared" si="82"/>
        <v>0</v>
      </c>
      <c r="AM17" s="130">
        <f t="shared" si="82"/>
        <v>0</v>
      </c>
      <c r="AN17" s="130">
        <f t="shared" si="82"/>
        <v>0</v>
      </c>
      <c r="AO17" s="130">
        <f t="shared" si="82"/>
        <v>42300</v>
      </c>
      <c r="AP17" s="130">
        <f t="shared" si="82"/>
        <v>27000</v>
      </c>
      <c r="AQ17" s="130">
        <f t="shared" si="82"/>
        <v>15300</v>
      </c>
      <c r="AR17" s="13"/>
      <c r="AS17" s="13"/>
    </row>
    <row r="18" ht="15.75" customHeight="1">
      <c r="A18" s="131" t="s">
        <v>114</v>
      </c>
      <c r="B18" s="132" t="s">
        <v>115</v>
      </c>
      <c r="C18" s="132" t="s">
        <v>116</v>
      </c>
      <c r="D18" s="132" t="s">
        <v>117</v>
      </c>
      <c r="E18" s="133">
        <f>F17</f>
        <v>0</v>
      </c>
      <c r="F18" s="134">
        <f>F17</f>
        <v>0</v>
      </c>
      <c r="G18" s="135">
        <v>0.0</v>
      </c>
      <c r="H18" s="136">
        <f>I17</f>
        <v>27000</v>
      </c>
      <c r="I18" s="136">
        <f>I17</f>
        <v>27000</v>
      </c>
      <c r="J18" s="133">
        <v>0.0</v>
      </c>
      <c r="K18" s="133">
        <f>L17</f>
        <v>0</v>
      </c>
      <c r="L18" s="136">
        <f>L17</f>
        <v>0</v>
      </c>
      <c r="M18" s="133">
        <v>0.0</v>
      </c>
      <c r="N18" s="133">
        <f>O17</f>
        <v>0</v>
      </c>
      <c r="O18" s="133">
        <f>O17</f>
        <v>0</v>
      </c>
      <c r="P18" s="133">
        <v>0.0</v>
      </c>
      <c r="Q18" s="133">
        <f>R17</f>
        <v>0</v>
      </c>
      <c r="R18" s="133">
        <f>R17</f>
        <v>0</v>
      </c>
      <c r="S18" s="133">
        <v>0.0</v>
      </c>
      <c r="T18" s="133">
        <f>U17</f>
        <v>0</v>
      </c>
      <c r="U18" s="133">
        <f>U17</f>
        <v>0</v>
      </c>
      <c r="V18" s="133">
        <v>0.0</v>
      </c>
      <c r="W18" s="136">
        <f>X17</f>
        <v>0</v>
      </c>
      <c r="X18" s="133">
        <f>X17</f>
        <v>0</v>
      </c>
      <c r="Y18" s="133">
        <v>0.0</v>
      </c>
      <c r="Z18" s="136">
        <f>AA17</f>
        <v>0</v>
      </c>
      <c r="AA18" s="133">
        <f>AA17</f>
        <v>0</v>
      </c>
      <c r="AB18" s="133">
        <v>0.0</v>
      </c>
      <c r="AC18" s="135">
        <f>AD17</f>
        <v>0</v>
      </c>
      <c r="AD18" s="135">
        <f>AD17</f>
        <v>0</v>
      </c>
      <c r="AE18" s="135">
        <v>0.0</v>
      </c>
      <c r="AF18" s="136">
        <f>AG17</f>
        <v>0</v>
      </c>
      <c r="AG18" s="136">
        <f>AG17</f>
        <v>0</v>
      </c>
      <c r="AH18" s="133">
        <v>0.0</v>
      </c>
      <c r="AI18" s="136">
        <f>AJ17</f>
        <v>0</v>
      </c>
      <c r="AJ18" s="136">
        <f>AJ17</f>
        <v>0</v>
      </c>
      <c r="AK18" s="133">
        <v>0.0</v>
      </c>
      <c r="AL18" s="136">
        <f>AM17</f>
        <v>0</v>
      </c>
      <c r="AM18" s="136">
        <f>AM17</f>
        <v>0</v>
      </c>
      <c r="AN18" s="133">
        <v>0.0</v>
      </c>
      <c r="AO18" s="136">
        <f>AP17</f>
        <v>27000</v>
      </c>
      <c r="AP18" s="136">
        <f>AP17</f>
        <v>27000</v>
      </c>
      <c r="AQ18" s="133">
        <v>0.0</v>
      </c>
      <c r="AR18" s="13"/>
      <c r="AS18" s="13"/>
    </row>
    <row r="19" ht="18.75" customHeight="1">
      <c r="A19" s="137" t="s">
        <v>114</v>
      </c>
      <c r="B19" s="138" t="s">
        <v>118</v>
      </c>
      <c r="C19" s="138" t="s">
        <v>119</v>
      </c>
      <c r="D19" s="138" t="s">
        <v>117</v>
      </c>
      <c r="E19" s="139">
        <f>G17</f>
        <v>0</v>
      </c>
      <c r="F19" s="140">
        <v>0.0</v>
      </c>
      <c r="G19" s="141">
        <f>G17</f>
        <v>0</v>
      </c>
      <c r="H19" s="142">
        <f>J17</f>
        <v>15300</v>
      </c>
      <c r="I19" s="139">
        <v>0.0</v>
      </c>
      <c r="J19" s="139">
        <f>J17</f>
        <v>15300</v>
      </c>
      <c r="K19" s="142">
        <f>M17</f>
        <v>0</v>
      </c>
      <c r="L19" s="139">
        <v>0.0</v>
      </c>
      <c r="M19" s="142">
        <f>M17</f>
        <v>0</v>
      </c>
      <c r="N19" s="139">
        <f>P17</f>
        <v>0</v>
      </c>
      <c r="O19" s="139">
        <v>0.0</v>
      </c>
      <c r="P19" s="139">
        <f>P17</f>
        <v>0</v>
      </c>
      <c r="Q19" s="139">
        <f>S17</f>
        <v>0</v>
      </c>
      <c r="R19" s="139">
        <v>0.0</v>
      </c>
      <c r="S19" s="139">
        <f>S17</f>
        <v>0</v>
      </c>
      <c r="T19" s="139">
        <f>V17</f>
        <v>0</v>
      </c>
      <c r="U19" s="139">
        <v>0.0</v>
      </c>
      <c r="V19" s="139">
        <f>V17</f>
        <v>0</v>
      </c>
      <c r="W19" s="142">
        <f>Y17</f>
        <v>0</v>
      </c>
      <c r="X19" s="139">
        <v>0.0</v>
      </c>
      <c r="Y19" s="139">
        <f>Y17</f>
        <v>0</v>
      </c>
      <c r="Z19" s="142">
        <f>AB17</f>
        <v>0</v>
      </c>
      <c r="AA19" s="139">
        <v>0.0</v>
      </c>
      <c r="AB19" s="142">
        <f>AB17</f>
        <v>0</v>
      </c>
      <c r="AC19" s="139">
        <f>AE17</f>
        <v>0</v>
      </c>
      <c r="AD19" s="139">
        <v>0.0</v>
      </c>
      <c r="AE19" s="139">
        <f>AE17</f>
        <v>0</v>
      </c>
      <c r="AF19" s="142">
        <f>AH17</f>
        <v>0</v>
      </c>
      <c r="AG19" s="139">
        <v>0.0</v>
      </c>
      <c r="AH19" s="142">
        <f>AH17</f>
        <v>0</v>
      </c>
      <c r="AI19" s="142">
        <f>AK17</f>
        <v>0</v>
      </c>
      <c r="AJ19" s="139">
        <v>0.0</v>
      </c>
      <c r="AK19" s="142">
        <f>AK17</f>
        <v>0</v>
      </c>
      <c r="AL19" s="142">
        <f>AN17</f>
        <v>0</v>
      </c>
      <c r="AM19" s="139">
        <v>0.0</v>
      </c>
      <c r="AN19" s="142">
        <f>AN17</f>
        <v>0</v>
      </c>
      <c r="AO19" s="142">
        <f>AQ17</f>
        <v>15300</v>
      </c>
      <c r="AP19" s="139">
        <v>0.0</v>
      </c>
      <c r="AQ19" s="142">
        <f>AQ17</f>
        <v>15300</v>
      </c>
      <c r="AR19" s="13"/>
      <c r="AS19" s="13"/>
    </row>
    <row r="20" ht="24.0" customHeight="1">
      <c r="A20" s="143" t="s">
        <v>120</v>
      </c>
      <c r="AR20" s="13"/>
      <c r="AS20" s="13"/>
    </row>
    <row r="21" ht="22.5" customHeight="1">
      <c r="A21" s="144" t="s">
        <v>121</v>
      </c>
      <c r="B21" s="144" t="s">
        <v>122</v>
      </c>
      <c r="C21" s="144" t="s">
        <v>123</v>
      </c>
      <c r="D21" s="144" t="s">
        <v>124</v>
      </c>
      <c r="E21" s="145" t="s">
        <v>85</v>
      </c>
      <c r="F21" s="146" t="s">
        <v>86</v>
      </c>
      <c r="G21" s="147" t="s">
        <v>87</v>
      </c>
      <c r="H21" s="145" t="s">
        <v>85</v>
      </c>
      <c r="I21" s="146" t="s">
        <v>86</v>
      </c>
      <c r="J21" s="147" t="s">
        <v>87</v>
      </c>
      <c r="K21" s="145" t="s">
        <v>85</v>
      </c>
      <c r="L21" s="146" t="s">
        <v>86</v>
      </c>
      <c r="M21" s="147" t="s">
        <v>87</v>
      </c>
      <c r="N21" s="145" t="s">
        <v>85</v>
      </c>
      <c r="O21" s="146" t="s">
        <v>86</v>
      </c>
      <c r="P21" s="147" t="s">
        <v>87</v>
      </c>
      <c r="Q21" s="145" t="s">
        <v>85</v>
      </c>
      <c r="R21" s="148" t="s">
        <v>86</v>
      </c>
      <c r="S21" s="149" t="s">
        <v>87</v>
      </c>
      <c r="T21" s="150" t="s">
        <v>85</v>
      </c>
      <c r="U21" s="148" t="s">
        <v>86</v>
      </c>
      <c r="V21" s="149" t="s">
        <v>87</v>
      </c>
      <c r="W21" s="150" t="s">
        <v>85</v>
      </c>
      <c r="X21" s="148" t="s">
        <v>86</v>
      </c>
      <c r="Y21" s="149" t="s">
        <v>87</v>
      </c>
      <c r="Z21" s="150" t="s">
        <v>85</v>
      </c>
      <c r="AA21" s="148" t="s">
        <v>86</v>
      </c>
      <c r="AB21" s="149" t="s">
        <v>87</v>
      </c>
      <c r="AC21" s="150" t="s">
        <v>85</v>
      </c>
      <c r="AD21" s="148" t="s">
        <v>86</v>
      </c>
      <c r="AE21" s="149" t="s">
        <v>87</v>
      </c>
      <c r="AF21" s="150" t="s">
        <v>85</v>
      </c>
      <c r="AG21" s="148" t="s">
        <v>86</v>
      </c>
      <c r="AH21" s="149" t="s">
        <v>87</v>
      </c>
      <c r="AI21" s="150" t="s">
        <v>85</v>
      </c>
      <c r="AJ21" s="148" t="s">
        <v>86</v>
      </c>
      <c r="AK21" s="149" t="s">
        <v>87</v>
      </c>
      <c r="AL21" s="150" t="s">
        <v>85</v>
      </c>
      <c r="AM21" s="148" t="s">
        <v>86</v>
      </c>
      <c r="AN21" s="149" t="s">
        <v>87</v>
      </c>
      <c r="AO21" s="150" t="s">
        <v>88</v>
      </c>
      <c r="AP21" s="151" t="s">
        <v>89</v>
      </c>
      <c r="AQ21" s="152" t="s">
        <v>90</v>
      </c>
      <c r="AR21" s="13"/>
      <c r="AS21" s="13"/>
    </row>
    <row r="22" ht="18.0" customHeight="1">
      <c r="A22" s="153" t="s">
        <v>125</v>
      </c>
      <c r="B22" s="154" t="s">
        <v>126</v>
      </c>
      <c r="C22" s="154" t="s">
        <v>127</v>
      </c>
      <c r="D22" s="155" t="s">
        <v>128</v>
      </c>
      <c r="E22" s="156"/>
      <c r="F22" s="157" t="str">
        <f>IF(E22="","",E22)</f>
        <v/>
      </c>
      <c r="G22" s="157" t="str">
        <f>IF(E22="","",0)</f>
        <v/>
      </c>
      <c r="H22" s="156">
        <v>-200.0</v>
      </c>
      <c r="I22" s="158">
        <f>IF(H22="","",H22)</f>
        <v>-200</v>
      </c>
      <c r="J22" s="158">
        <f>IF(H22="","",0)</f>
        <v>0</v>
      </c>
      <c r="K22" s="156"/>
      <c r="L22" s="158" t="str">
        <f>IF(K22="","",K22)</f>
        <v/>
      </c>
      <c r="M22" s="158" t="str">
        <f>IF(K22="","",0)</f>
        <v/>
      </c>
      <c r="N22" s="156"/>
      <c r="O22" s="158" t="str">
        <f>IF(N22="","",N22)</f>
        <v/>
      </c>
      <c r="P22" s="156" t="str">
        <f>IF(N22="","",0)</f>
        <v/>
      </c>
      <c r="Q22" s="156"/>
      <c r="R22" s="156" t="str">
        <f>IF(Q22="","",Q22)</f>
        <v/>
      </c>
      <c r="S22" s="156" t="str">
        <f>IF(Q22="","",0)</f>
        <v/>
      </c>
      <c r="T22" s="156"/>
      <c r="U22" s="156" t="str">
        <f>IF(T22="","",T22)</f>
        <v/>
      </c>
      <c r="V22" s="156" t="str">
        <f>IF(T22="","",0)</f>
        <v/>
      </c>
      <c r="W22" s="158"/>
      <c r="X22" s="158" t="str">
        <f>IF(W22="","",W22)</f>
        <v/>
      </c>
      <c r="Y22" s="158" t="str">
        <f>IF(W22="","",0)</f>
        <v/>
      </c>
      <c r="Z22" s="158"/>
      <c r="AA22" s="158" t="str">
        <f>IF(Z22="","",Z22)</f>
        <v/>
      </c>
      <c r="AB22" s="158" t="str">
        <f>IF(Z22="","",0)</f>
        <v/>
      </c>
      <c r="AC22" s="158"/>
      <c r="AD22" s="158" t="str">
        <f>IF(AC22="","",AC22)</f>
        <v/>
      </c>
      <c r="AE22" s="158" t="str">
        <f>IF(AC22="","",0)</f>
        <v/>
      </c>
      <c r="AF22" s="158"/>
      <c r="AG22" s="158" t="str">
        <f>IF(AF22="","",AF22)</f>
        <v/>
      </c>
      <c r="AH22" s="158" t="str">
        <f>IF(AF22="","",0)</f>
        <v/>
      </c>
      <c r="AI22" s="158"/>
      <c r="AJ22" s="158" t="str">
        <f>IF(AI22="","",AI22)</f>
        <v/>
      </c>
      <c r="AK22" s="158" t="str">
        <f>IF(AI22="","",0)</f>
        <v/>
      </c>
      <c r="AL22" s="158"/>
      <c r="AM22" s="158" t="str">
        <f>IF(AL22="","",AL22)</f>
        <v/>
      </c>
      <c r="AN22" s="158" t="str">
        <f>IF(AL22="","",0)</f>
        <v/>
      </c>
      <c r="AO22" s="158">
        <f t="shared" ref="AO22:AQ22" si="83">SUM(E22,H22,K22,N22,Q22,T22,W22,Z22,AC22,AF22,AI22,AL22)</f>
        <v>-200</v>
      </c>
      <c r="AP22" s="158">
        <f t="shared" si="83"/>
        <v>-200</v>
      </c>
      <c r="AQ22" s="158">
        <f t="shared" si="83"/>
        <v>0</v>
      </c>
      <c r="AR22" s="13"/>
      <c r="AS22" s="13"/>
    </row>
    <row r="23" ht="15.75" customHeight="1">
      <c r="A23" s="159" t="s">
        <v>129</v>
      </c>
      <c r="B23" s="159" t="s">
        <v>130</v>
      </c>
      <c r="C23" s="160" t="s">
        <v>131</v>
      </c>
      <c r="D23" s="160" t="s">
        <v>132</v>
      </c>
      <c r="E23" s="161"/>
      <c r="F23" s="162" t="str">
        <f>IF(E23="","",E23*0.2)</f>
        <v/>
      </c>
      <c r="G23" s="163" t="str">
        <f>IF(E23="","",E23*0.8)</f>
        <v/>
      </c>
      <c r="H23" s="161">
        <v>-1000.0</v>
      </c>
      <c r="I23" s="164">
        <f>IF(H23="","",H23*0.2)</f>
        <v>-200</v>
      </c>
      <c r="J23" s="164">
        <f>IF(H23="","",H23*0.8)</f>
        <v>-800</v>
      </c>
      <c r="K23" s="164"/>
      <c r="L23" s="164" t="str">
        <f>IF(K23="","",K23*0.2)</f>
        <v/>
      </c>
      <c r="M23" s="164" t="str">
        <f>IF(K23="","",K23*0.8)</f>
        <v/>
      </c>
      <c r="N23" s="164"/>
      <c r="O23" s="161" t="str">
        <f>IF(N23="","",N23*0.2)</f>
        <v/>
      </c>
      <c r="P23" s="161" t="str">
        <f>IF(N23="","",N23*0.8)</f>
        <v/>
      </c>
      <c r="Q23" s="161"/>
      <c r="R23" s="161" t="str">
        <f>IF(Q23="","",Q23*0.2)</f>
        <v/>
      </c>
      <c r="S23" s="161" t="str">
        <f>IF(Q23="","",Q23*0.8)</f>
        <v/>
      </c>
      <c r="T23" s="161"/>
      <c r="U23" s="161" t="str">
        <f>IF(T23="","",T23*0.2)</f>
        <v/>
      </c>
      <c r="V23" s="161" t="str">
        <f>IF(T23="","",T23*0.8)</f>
        <v/>
      </c>
      <c r="W23" s="164"/>
      <c r="X23" s="164" t="str">
        <f>IF(W23="","",W23*0.2)</f>
        <v/>
      </c>
      <c r="Y23" s="164" t="str">
        <f>IF(W23="","",W23*0.8)</f>
        <v/>
      </c>
      <c r="Z23" s="164"/>
      <c r="AA23" s="164" t="str">
        <f>IF(Z23="","",Z23*0.2)</f>
        <v/>
      </c>
      <c r="AB23" s="164" t="str">
        <f>IF(Z23="","",Z23*0.8)</f>
        <v/>
      </c>
      <c r="AC23" s="164"/>
      <c r="AD23" s="164" t="str">
        <f>IF(AC23="","",AC23*0.2)</f>
        <v/>
      </c>
      <c r="AE23" s="164" t="str">
        <f>IF(AC23="","",AC23*0.8)</f>
        <v/>
      </c>
      <c r="AF23" s="164"/>
      <c r="AG23" s="164" t="str">
        <f>IF(AF23="","",AF23*0.2)</f>
        <v/>
      </c>
      <c r="AH23" s="164" t="str">
        <f>IF(AF23="","",AF23*0.8)</f>
        <v/>
      </c>
      <c r="AI23" s="164"/>
      <c r="AJ23" s="164" t="str">
        <f>IF(AI23="","",AI23*0.2)</f>
        <v/>
      </c>
      <c r="AK23" s="164" t="str">
        <f>IF(AI23="","",AI23*0.8)</f>
        <v/>
      </c>
      <c r="AL23" s="164"/>
      <c r="AM23" s="164" t="str">
        <f>IF(AL23="","",AL23*0.2)</f>
        <v/>
      </c>
      <c r="AN23" s="164" t="str">
        <f>IF(AL23="","",AL23*0.8)</f>
        <v/>
      </c>
      <c r="AO23" s="164">
        <f t="shared" ref="AO23:AQ23" si="84">SUM(E23,H23,K23,N23,Q23,T23,W23,Z23,AC23,AF23,AI23,AL23)</f>
        <v>-1000</v>
      </c>
      <c r="AP23" s="164">
        <f t="shared" si="84"/>
        <v>-200</v>
      </c>
      <c r="AQ23" s="164">
        <f t="shared" si="84"/>
        <v>-800</v>
      </c>
      <c r="AR23" s="13"/>
      <c r="AS23" s="13"/>
    </row>
    <row r="24" ht="15.75" customHeight="1">
      <c r="A24" s="165" t="s">
        <v>133</v>
      </c>
      <c r="B24" s="165" t="s">
        <v>134</v>
      </c>
      <c r="C24" s="166" t="s">
        <v>135</v>
      </c>
      <c r="D24" s="166" t="s">
        <v>136</v>
      </c>
      <c r="E24" s="156"/>
      <c r="F24" s="167" t="str">
        <f>IF(E24="","",E24*0.5)</f>
        <v/>
      </c>
      <c r="G24" s="167" t="str">
        <f>IF(E24="","",E24*0.5)</f>
        <v/>
      </c>
      <c r="H24" s="158"/>
      <c r="I24" s="158" t="str">
        <f>IF(H24="","",H24*0.5)</f>
        <v/>
      </c>
      <c r="J24" s="158" t="str">
        <f>IF(H24="","",H24*0.5)</f>
        <v/>
      </c>
      <c r="K24" s="156"/>
      <c r="L24" s="158" t="str">
        <f>IF(K24="","",K24*0.5)</f>
        <v/>
      </c>
      <c r="M24" s="158" t="str">
        <f>IF(K24="","",K24*0.5)</f>
        <v/>
      </c>
      <c r="N24" s="158"/>
      <c r="O24" s="156" t="str">
        <f>IF(N24="","",N24*0.5)</f>
        <v/>
      </c>
      <c r="P24" s="156" t="str">
        <f>IF(N24="","",N24*0.5)</f>
        <v/>
      </c>
      <c r="Q24" s="156"/>
      <c r="R24" s="156" t="str">
        <f>IF(Q24="","",Q24*0.5)</f>
        <v/>
      </c>
      <c r="S24" s="156" t="str">
        <f>IF(Q24="","",Q24*0.5)</f>
        <v/>
      </c>
      <c r="T24" s="156"/>
      <c r="U24" s="156" t="str">
        <f>IF(T24="","",T24*0.5)</f>
        <v/>
      </c>
      <c r="V24" s="158" t="str">
        <f>IF(T24="","",T24*0.5)</f>
        <v/>
      </c>
      <c r="W24" s="158"/>
      <c r="X24" s="156" t="str">
        <f>IF(W24="","",W24*0.5)</f>
        <v/>
      </c>
      <c r="Y24" s="156" t="str">
        <f>IF(W24="","",W24*0.5)</f>
        <v/>
      </c>
      <c r="Z24" s="158"/>
      <c r="AA24" s="158" t="str">
        <f>IF(Z24="","",Z24*0.5)</f>
        <v/>
      </c>
      <c r="AB24" s="158" t="str">
        <f>IF(Z24="","",Z24*0.5)</f>
        <v/>
      </c>
      <c r="AC24" s="158"/>
      <c r="AD24" s="158" t="str">
        <f>IF(AC24="","",AC24*0.5)</f>
        <v/>
      </c>
      <c r="AE24" s="158" t="str">
        <f>IF(AC24="","",AC24*0.5)</f>
        <v/>
      </c>
      <c r="AF24" s="158"/>
      <c r="AG24" s="158" t="str">
        <f>IF(AF24="","",AF24*0.5)</f>
        <v/>
      </c>
      <c r="AH24" s="158" t="str">
        <f>IF(AF24="","",AF24*0.5)</f>
        <v/>
      </c>
      <c r="AI24" s="158"/>
      <c r="AJ24" s="158" t="str">
        <f>IF(AI24="","",AI24*0.5)</f>
        <v/>
      </c>
      <c r="AK24" s="158" t="str">
        <f>IF(AI24="","",AI24*0.5)</f>
        <v/>
      </c>
      <c r="AL24" s="158"/>
      <c r="AM24" s="158" t="str">
        <f>IF(AL24="","",AL24*0.5)</f>
        <v/>
      </c>
      <c r="AN24" s="158" t="str">
        <f>IF(AL24="","",AL24*0.5)</f>
        <v/>
      </c>
      <c r="AO24" s="158">
        <f t="shared" ref="AO24:AQ24" si="85">SUM(E24,H24,K24,N24,Q24,T24,W24,Z24,AC24,AF24,AI24,AL24)</f>
        <v>0</v>
      </c>
      <c r="AP24" s="158">
        <f t="shared" si="85"/>
        <v>0</v>
      </c>
      <c r="AQ24" s="158">
        <f t="shared" si="85"/>
        <v>0</v>
      </c>
      <c r="AR24" s="13"/>
      <c r="AS24" s="13"/>
    </row>
    <row r="25" ht="15.75" customHeight="1">
      <c r="A25" s="159" t="s">
        <v>137</v>
      </c>
      <c r="B25" s="159" t="s">
        <v>138</v>
      </c>
      <c r="C25" s="160" t="s">
        <v>139</v>
      </c>
      <c r="D25" s="160" t="s">
        <v>140</v>
      </c>
      <c r="E25" s="161"/>
      <c r="F25" s="162" t="str">
        <f>IF(E25="","",0)</f>
        <v/>
      </c>
      <c r="G25" s="163" t="str">
        <f>IF(E25="","",E25)</f>
        <v/>
      </c>
      <c r="H25" s="161">
        <v>400.0</v>
      </c>
      <c r="I25" s="164">
        <f>IF(H25="","",0)</f>
        <v>0</v>
      </c>
      <c r="J25" s="164">
        <f>IF(H25="","",H25)</f>
        <v>400</v>
      </c>
      <c r="K25" s="161"/>
      <c r="L25" s="164" t="str">
        <f>IF(K25="","",0)</f>
        <v/>
      </c>
      <c r="M25" s="164" t="str">
        <f>IF(K25="","",K25)</f>
        <v/>
      </c>
      <c r="N25" s="161"/>
      <c r="O25" s="162" t="str">
        <f>IF(N25="","",0)</f>
        <v/>
      </c>
      <c r="P25" s="161" t="str">
        <f>IF(N25="","",N25)</f>
        <v/>
      </c>
      <c r="Q25" s="161"/>
      <c r="R25" s="161" t="str">
        <f>IF(Q25="","",0)</f>
        <v/>
      </c>
      <c r="S25" s="161" t="str">
        <f>IF(Q25="","",Q25)</f>
        <v/>
      </c>
      <c r="T25" s="161"/>
      <c r="U25" s="164" t="str">
        <f>IF(T25="","",0)</f>
        <v/>
      </c>
      <c r="V25" s="164" t="str">
        <f>IF(T25="","",T25)</f>
        <v/>
      </c>
      <c r="W25" s="164"/>
      <c r="X25" s="164" t="str">
        <f>IF(W25="","",0)</f>
        <v/>
      </c>
      <c r="Y25" s="164" t="str">
        <f>IF(W25="","",W25)</f>
        <v/>
      </c>
      <c r="Z25" s="164"/>
      <c r="AA25" s="164" t="str">
        <f>IF(Z25="","",0)</f>
        <v/>
      </c>
      <c r="AB25" s="164" t="str">
        <f>IF(Z25="","",Z25)</f>
        <v/>
      </c>
      <c r="AC25" s="164"/>
      <c r="AD25" s="164" t="str">
        <f>IF(AC25="","",0)</f>
        <v/>
      </c>
      <c r="AE25" s="164" t="str">
        <f>IF(AC25="","",AC25)</f>
        <v/>
      </c>
      <c r="AF25" s="164"/>
      <c r="AG25" s="164" t="str">
        <f>IF(AF25="","",0)</f>
        <v/>
      </c>
      <c r="AH25" s="164" t="str">
        <f>IF(AF25="","",AF25)</f>
        <v/>
      </c>
      <c r="AI25" s="164"/>
      <c r="AJ25" s="164" t="str">
        <f>IF(AI25="","",0)</f>
        <v/>
      </c>
      <c r="AK25" s="164" t="str">
        <f>IF(AI25="","",AI25)</f>
        <v/>
      </c>
      <c r="AL25" s="164"/>
      <c r="AM25" s="164" t="str">
        <f>IF(AL25="","",0)</f>
        <v/>
      </c>
      <c r="AN25" s="164" t="str">
        <f>IF(AL25="","",AL25)</f>
        <v/>
      </c>
      <c r="AO25" s="164">
        <f t="shared" ref="AO25:AQ25" si="86">SUM(E25,H25,K25,N25,Q25,T25,W25,Z25,AC25,AF25,AI25,AL25)</f>
        <v>400</v>
      </c>
      <c r="AP25" s="164">
        <f t="shared" si="86"/>
        <v>0</v>
      </c>
      <c r="AQ25" s="164">
        <f t="shared" si="86"/>
        <v>400</v>
      </c>
      <c r="AR25" s="13"/>
      <c r="AS25" s="13"/>
    </row>
    <row r="26" ht="15.75" customHeight="1">
      <c r="A26" s="165" t="s">
        <v>141</v>
      </c>
      <c r="B26" s="165" t="s">
        <v>142</v>
      </c>
      <c r="C26" s="166" t="s">
        <v>143</v>
      </c>
      <c r="D26" s="166" t="s">
        <v>144</v>
      </c>
      <c r="E26" s="156"/>
      <c r="F26" s="156" t="str">
        <f t="shared" ref="F26:F28" si="88">IF(E26="","",E26*0.5)</f>
        <v/>
      </c>
      <c r="G26" s="156" t="str">
        <f t="shared" ref="G26:G28" si="89">IF(E26="","",E26*0.5)</f>
        <v/>
      </c>
      <c r="H26" s="156"/>
      <c r="I26" s="158" t="str">
        <f t="shared" ref="I26:I28" si="90">IF(H26="","",H26*0.5)</f>
        <v/>
      </c>
      <c r="J26" s="156" t="str">
        <f t="shared" ref="J26:J28" si="91">IF(H26="","",H26*0.5)</f>
        <v/>
      </c>
      <c r="K26" s="158"/>
      <c r="L26" s="158" t="str">
        <f t="shared" ref="L26:L28" si="92">IF(K26="","",K26*0.5)</f>
        <v/>
      </c>
      <c r="M26" s="158" t="str">
        <f t="shared" ref="M26:M28" si="93">IF(K26="","",K26*0.5)</f>
        <v/>
      </c>
      <c r="N26" s="156"/>
      <c r="O26" s="156" t="str">
        <f t="shared" ref="O26:O28" si="94">IF(N26="","",N26*0.5)</f>
        <v/>
      </c>
      <c r="P26" s="156" t="str">
        <f t="shared" ref="P26:P28" si="95">IF(N26="","",N26*0.5)</f>
        <v/>
      </c>
      <c r="Q26" s="156"/>
      <c r="R26" s="156" t="str">
        <f t="shared" ref="R26:R28" si="96">IF(Q26="","",Q26*0.5)</f>
        <v/>
      </c>
      <c r="S26" s="156" t="str">
        <f t="shared" ref="S26:S28" si="97">IF(Q26="","",Q26*0.5)</f>
        <v/>
      </c>
      <c r="T26" s="156"/>
      <c r="U26" s="156" t="str">
        <f t="shared" ref="U26:U28" si="98">IF(T26="","",T26*0.5)</f>
        <v/>
      </c>
      <c r="V26" s="158" t="str">
        <f t="shared" ref="V26:V28" si="99">IF(T26="","",T26*0.5)</f>
        <v/>
      </c>
      <c r="W26" s="158"/>
      <c r="X26" s="156" t="str">
        <f t="shared" ref="X26:X28" si="100">IF(W26="","",W26*0.5)</f>
        <v/>
      </c>
      <c r="Y26" s="156" t="str">
        <f t="shared" ref="Y26:Y28" si="101">IF(W26="","",W26*0.5)</f>
        <v/>
      </c>
      <c r="Z26" s="158"/>
      <c r="AA26" s="158" t="str">
        <f t="shared" ref="AA26:AA28" si="102">IF(Z26="","",Z26*0.5)</f>
        <v/>
      </c>
      <c r="AB26" s="158" t="str">
        <f t="shared" ref="AB26:AB28" si="103">IF(Z26="","",Z26*0.5)</f>
        <v/>
      </c>
      <c r="AC26" s="158"/>
      <c r="AD26" s="158" t="str">
        <f t="shared" ref="AD26:AD28" si="104">IF(AC26="","",AC26*0.5)</f>
        <v/>
      </c>
      <c r="AE26" s="158" t="str">
        <f t="shared" ref="AE26:AE28" si="105">IF(AC26="","",AC26*0.5)</f>
        <v/>
      </c>
      <c r="AF26" s="158"/>
      <c r="AG26" s="158" t="str">
        <f t="shared" ref="AG26:AG28" si="106">IF(AF26="","",AF26*0.5)</f>
        <v/>
      </c>
      <c r="AH26" s="158" t="str">
        <f t="shared" ref="AH26:AH28" si="107">IF(AF26="","",AF26*0.5)</f>
        <v/>
      </c>
      <c r="AI26" s="158"/>
      <c r="AJ26" s="158" t="str">
        <f t="shared" ref="AJ26:AJ28" si="108">IF(AI26="","",AI26*0.5)</f>
        <v/>
      </c>
      <c r="AK26" s="158" t="str">
        <f t="shared" ref="AK26:AK28" si="109">IF(AI26="","",AI26*0.5)</f>
        <v/>
      </c>
      <c r="AL26" s="158"/>
      <c r="AM26" s="158" t="str">
        <f t="shared" ref="AM26:AM28" si="110">IF(AL26="","",AL26*0.5)</f>
        <v/>
      </c>
      <c r="AN26" s="158" t="str">
        <f t="shared" ref="AN26:AN28" si="111">IF(AL26="","",AL26*0.5)</f>
        <v/>
      </c>
      <c r="AO26" s="158">
        <f t="shared" ref="AO26:AQ26" si="87">SUM(E26,H26,K26,N26,Q26,T26,W26,Z26,AC26,AF26,AI26,AL26)</f>
        <v>0</v>
      </c>
      <c r="AP26" s="158">
        <f t="shared" si="87"/>
        <v>0</v>
      </c>
      <c r="AQ26" s="158">
        <f t="shared" si="87"/>
        <v>0</v>
      </c>
      <c r="AR26" s="13"/>
      <c r="AS26" s="13"/>
    </row>
    <row r="27" ht="15.75" customHeight="1">
      <c r="A27" s="168" t="s">
        <v>145</v>
      </c>
      <c r="B27" s="168" t="s">
        <v>146</v>
      </c>
      <c r="C27" s="169" t="s">
        <v>147</v>
      </c>
      <c r="D27" s="169" t="s">
        <v>148</v>
      </c>
      <c r="E27" s="162"/>
      <c r="F27" s="163" t="str">
        <f t="shared" si="88"/>
        <v/>
      </c>
      <c r="G27" s="163" t="str">
        <f t="shared" si="89"/>
        <v/>
      </c>
      <c r="H27" s="162"/>
      <c r="I27" s="164" t="str">
        <f t="shared" si="90"/>
        <v/>
      </c>
      <c r="J27" s="163" t="str">
        <f t="shared" si="91"/>
        <v/>
      </c>
      <c r="K27" s="163"/>
      <c r="L27" s="163" t="str">
        <f t="shared" si="92"/>
        <v/>
      </c>
      <c r="M27" s="163" t="str">
        <f t="shared" si="93"/>
        <v/>
      </c>
      <c r="N27" s="163"/>
      <c r="O27" s="163" t="str">
        <f t="shared" si="94"/>
        <v/>
      </c>
      <c r="P27" s="161" t="str">
        <f t="shared" si="95"/>
        <v/>
      </c>
      <c r="Q27" s="161"/>
      <c r="R27" s="161" t="str">
        <f t="shared" si="96"/>
        <v/>
      </c>
      <c r="S27" s="161" t="str">
        <f t="shared" si="97"/>
        <v/>
      </c>
      <c r="T27" s="161"/>
      <c r="U27" s="164" t="str">
        <f t="shared" si="98"/>
        <v/>
      </c>
      <c r="V27" s="164" t="str">
        <f t="shared" si="99"/>
        <v/>
      </c>
      <c r="W27" s="164"/>
      <c r="X27" s="164" t="str">
        <f t="shared" si="100"/>
        <v/>
      </c>
      <c r="Y27" s="164" t="str">
        <f t="shared" si="101"/>
        <v/>
      </c>
      <c r="Z27" s="164"/>
      <c r="AA27" s="163" t="str">
        <f t="shared" si="102"/>
        <v/>
      </c>
      <c r="AB27" s="163" t="str">
        <f t="shared" si="103"/>
        <v/>
      </c>
      <c r="AC27" s="164"/>
      <c r="AD27" s="164" t="str">
        <f t="shared" si="104"/>
        <v/>
      </c>
      <c r="AE27" s="164" t="str">
        <f t="shared" si="105"/>
        <v/>
      </c>
      <c r="AF27" s="164"/>
      <c r="AG27" s="163" t="str">
        <f t="shared" si="106"/>
        <v/>
      </c>
      <c r="AH27" s="163" t="str">
        <f t="shared" si="107"/>
        <v/>
      </c>
      <c r="AI27" s="163"/>
      <c r="AJ27" s="163" t="str">
        <f t="shared" si="108"/>
        <v/>
      </c>
      <c r="AK27" s="163" t="str">
        <f t="shared" si="109"/>
        <v/>
      </c>
      <c r="AL27" s="163"/>
      <c r="AM27" s="163" t="str">
        <f t="shared" si="110"/>
        <v/>
      </c>
      <c r="AN27" s="163" t="str">
        <f t="shared" si="111"/>
        <v/>
      </c>
      <c r="AO27" s="163">
        <f t="shared" ref="AO27:AQ27" si="112">SUM(E27,H27,K27,N27,Q27,T27,W27,Z27,AC27,AF27,AI27,AL27)</f>
        <v>0</v>
      </c>
      <c r="AP27" s="163">
        <f t="shared" si="112"/>
        <v>0</v>
      </c>
      <c r="AQ27" s="163">
        <f t="shared" si="112"/>
        <v>0</v>
      </c>
      <c r="AR27" s="170"/>
      <c r="AS27" s="170"/>
    </row>
    <row r="28" ht="15.75" customHeight="1">
      <c r="A28" s="171" t="s">
        <v>149</v>
      </c>
      <c r="B28" s="171" t="s">
        <v>150</v>
      </c>
      <c r="C28" s="172" t="s">
        <v>151</v>
      </c>
      <c r="D28" s="172" t="s">
        <v>144</v>
      </c>
      <c r="E28" s="157"/>
      <c r="F28" s="157" t="str">
        <f t="shared" si="88"/>
        <v/>
      </c>
      <c r="G28" s="157" t="str">
        <f t="shared" si="89"/>
        <v/>
      </c>
      <c r="H28" s="167"/>
      <c r="I28" s="167" t="str">
        <f t="shared" si="90"/>
        <v/>
      </c>
      <c r="J28" s="167" t="str">
        <f t="shared" si="91"/>
        <v/>
      </c>
      <c r="K28" s="167"/>
      <c r="L28" s="167" t="str">
        <f t="shared" si="92"/>
        <v/>
      </c>
      <c r="M28" s="167" t="str">
        <f t="shared" si="93"/>
        <v/>
      </c>
      <c r="N28" s="167"/>
      <c r="O28" s="167" t="str">
        <f t="shared" si="94"/>
        <v/>
      </c>
      <c r="P28" s="156" t="str">
        <f t="shared" si="95"/>
        <v/>
      </c>
      <c r="Q28" s="156"/>
      <c r="R28" s="156" t="str">
        <f t="shared" si="96"/>
        <v/>
      </c>
      <c r="S28" s="156" t="str">
        <f t="shared" si="97"/>
        <v/>
      </c>
      <c r="T28" s="156"/>
      <c r="U28" s="156" t="str">
        <f t="shared" si="98"/>
        <v/>
      </c>
      <c r="V28" s="156" t="str">
        <f t="shared" si="99"/>
        <v/>
      </c>
      <c r="W28" s="156"/>
      <c r="X28" s="156" t="str">
        <f t="shared" si="100"/>
        <v/>
      </c>
      <c r="Y28" s="156" t="str">
        <f t="shared" si="101"/>
        <v/>
      </c>
      <c r="Z28" s="156"/>
      <c r="AA28" s="167" t="str">
        <f t="shared" si="102"/>
        <v/>
      </c>
      <c r="AB28" s="167" t="str">
        <f t="shared" si="103"/>
        <v/>
      </c>
      <c r="AC28" s="167"/>
      <c r="AD28" s="167" t="str">
        <f t="shared" si="104"/>
        <v/>
      </c>
      <c r="AE28" s="167" t="str">
        <f t="shared" si="105"/>
        <v/>
      </c>
      <c r="AF28" s="167"/>
      <c r="AG28" s="167" t="str">
        <f t="shared" si="106"/>
        <v/>
      </c>
      <c r="AH28" s="167" t="str">
        <f t="shared" si="107"/>
        <v/>
      </c>
      <c r="AI28" s="167"/>
      <c r="AJ28" s="167" t="str">
        <f t="shared" si="108"/>
        <v/>
      </c>
      <c r="AK28" s="167" t="str">
        <f t="shared" si="109"/>
        <v/>
      </c>
      <c r="AL28" s="167"/>
      <c r="AM28" s="167" t="str">
        <f t="shared" si="110"/>
        <v/>
      </c>
      <c r="AN28" s="167" t="str">
        <f t="shared" si="111"/>
        <v/>
      </c>
      <c r="AO28" s="167">
        <f t="shared" ref="AO28:AQ28" si="113">SUM(E28,H28,K28,N28,Q28,T28,W28,Z28,AC28,AF28,AI28,AL28)</f>
        <v>0</v>
      </c>
      <c r="AP28" s="167">
        <f t="shared" si="113"/>
        <v>0</v>
      </c>
      <c r="AQ28" s="167">
        <f t="shared" si="113"/>
        <v>0</v>
      </c>
      <c r="AR28" s="170"/>
      <c r="AS28" s="170"/>
    </row>
    <row r="29" ht="15.75" customHeight="1">
      <c r="A29" s="173" t="s">
        <v>152</v>
      </c>
      <c r="B29" s="174"/>
      <c r="C29" s="175"/>
      <c r="D29" s="175" t="s">
        <v>153</v>
      </c>
      <c r="E29" s="176">
        <f t="shared" ref="E29:AQ29" si="114">SUM(E22:E28)</f>
        <v>0</v>
      </c>
      <c r="F29" s="177">
        <f t="shared" si="114"/>
        <v>0</v>
      </c>
      <c r="G29" s="177">
        <f t="shared" si="114"/>
        <v>0</v>
      </c>
      <c r="H29" s="177">
        <f t="shared" si="114"/>
        <v>-800</v>
      </c>
      <c r="I29" s="177">
        <f t="shared" si="114"/>
        <v>-400</v>
      </c>
      <c r="J29" s="177">
        <f t="shared" si="114"/>
        <v>-400</v>
      </c>
      <c r="K29" s="177">
        <f t="shared" si="114"/>
        <v>0</v>
      </c>
      <c r="L29" s="176">
        <f t="shared" si="114"/>
        <v>0</v>
      </c>
      <c r="M29" s="177">
        <f t="shared" si="114"/>
        <v>0</v>
      </c>
      <c r="N29" s="177">
        <f t="shared" si="114"/>
        <v>0</v>
      </c>
      <c r="O29" s="177">
        <f t="shared" si="114"/>
        <v>0</v>
      </c>
      <c r="P29" s="178">
        <f t="shared" si="114"/>
        <v>0</v>
      </c>
      <c r="Q29" s="178">
        <f t="shared" si="114"/>
        <v>0</v>
      </c>
      <c r="R29" s="178">
        <f t="shared" si="114"/>
        <v>0</v>
      </c>
      <c r="S29" s="178">
        <f t="shared" si="114"/>
        <v>0</v>
      </c>
      <c r="T29" s="178">
        <f t="shared" si="114"/>
        <v>0</v>
      </c>
      <c r="U29" s="179">
        <f t="shared" si="114"/>
        <v>0</v>
      </c>
      <c r="V29" s="179">
        <f t="shared" si="114"/>
        <v>0</v>
      </c>
      <c r="W29" s="179">
        <f t="shared" si="114"/>
        <v>0</v>
      </c>
      <c r="X29" s="179">
        <f t="shared" si="114"/>
        <v>0</v>
      </c>
      <c r="Y29" s="179">
        <f t="shared" si="114"/>
        <v>0</v>
      </c>
      <c r="Z29" s="179">
        <f t="shared" si="114"/>
        <v>0</v>
      </c>
      <c r="AA29" s="177">
        <f t="shared" si="114"/>
        <v>0</v>
      </c>
      <c r="AB29" s="177">
        <f t="shared" si="114"/>
        <v>0</v>
      </c>
      <c r="AC29" s="177">
        <f t="shared" si="114"/>
        <v>0</v>
      </c>
      <c r="AD29" s="177">
        <f t="shared" si="114"/>
        <v>0</v>
      </c>
      <c r="AE29" s="177">
        <f t="shared" si="114"/>
        <v>0</v>
      </c>
      <c r="AF29" s="177">
        <f t="shared" si="114"/>
        <v>0</v>
      </c>
      <c r="AG29" s="177">
        <f t="shared" si="114"/>
        <v>0</v>
      </c>
      <c r="AH29" s="177">
        <f t="shared" si="114"/>
        <v>0</v>
      </c>
      <c r="AI29" s="177">
        <f t="shared" si="114"/>
        <v>0</v>
      </c>
      <c r="AJ29" s="177">
        <f t="shared" si="114"/>
        <v>0</v>
      </c>
      <c r="AK29" s="177">
        <f t="shared" si="114"/>
        <v>0</v>
      </c>
      <c r="AL29" s="177">
        <f t="shared" si="114"/>
        <v>0</v>
      </c>
      <c r="AM29" s="177">
        <f t="shared" si="114"/>
        <v>0</v>
      </c>
      <c r="AN29" s="177">
        <f t="shared" si="114"/>
        <v>0</v>
      </c>
      <c r="AO29" s="177">
        <f t="shared" si="114"/>
        <v>-800</v>
      </c>
      <c r="AP29" s="177">
        <f t="shared" si="114"/>
        <v>-400</v>
      </c>
      <c r="AQ29" s="177">
        <f t="shared" si="114"/>
        <v>-400</v>
      </c>
      <c r="AR29" s="170"/>
      <c r="AS29" s="170"/>
    </row>
    <row r="30" ht="24.0" customHeight="1">
      <c r="A30" s="180" t="s">
        <v>154</v>
      </c>
      <c r="AR30" s="170"/>
      <c r="AS30" s="170"/>
    </row>
    <row r="31" ht="21.0" customHeight="1">
      <c r="A31" s="181" t="s">
        <v>155</v>
      </c>
      <c r="B31" s="182"/>
      <c r="C31" s="183" t="s">
        <v>156</v>
      </c>
      <c r="D31" s="183" t="s">
        <v>157</v>
      </c>
      <c r="E31" s="184">
        <f t="shared" ref="E31:AQ31" si="115">E17+E29</f>
        <v>0</v>
      </c>
      <c r="F31" s="185">
        <f t="shared" si="115"/>
        <v>0</v>
      </c>
      <c r="G31" s="185">
        <f t="shared" si="115"/>
        <v>0</v>
      </c>
      <c r="H31" s="185">
        <f t="shared" si="115"/>
        <v>41500</v>
      </c>
      <c r="I31" s="185">
        <f t="shared" si="115"/>
        <v>26600</v>
      </c>
      <c r="J31" s="185">
        <f t="shared" si="115"/>
        <v>14900</v>
      </c>
      <c r="K31" s="185">
        <f t="shared" si="115"/>
        <v>0</v>
      </c>
      <c r="L31" s="184">
        <f t="shared" si="115"/>
        <v>0</v>
      </c>
      <c r="M31" s="185">
        <f t="shared" si="115"/>
        <v>0</v>
      </c>
      <c r="N31" s="184">
        <f t="shared" si="115"/>
        <v>0</v>
      </c>
      <c r="O31" s="185">
        <f t="shared" si="115"/>
        <v>0</v>
      </c>
      <c r="P31" s="186">
        <f t="shared" si="115"/>
        <v>0</v>
      </c>
      <c r="Q31" s="186">
        <f t="shared" si="115"/>
        <v>0</v>
      </c>
      <c r="R31" s="186">
        <f t="shared" si="115"/>
        <v>0</v>
      </c>
      <c r="S31" s="186">
        <f t="shared" si="115"/>
        <v>0</v>
      </c>
      <c r="T31" s="186">
        <f t="shared" si="115"/>
        <v>0</v>
      </c>
      <c r="U31" s="186">
        <f t="shared" si="115"/>
        <v>0</v>
      </c>
      <c r="V31" s="185">
        <f t="shared" si="115"/>
        <v>0</v>
      </c>
      <c r="W31" s="185">
        <f t="shared" si="115"/>
        <v>0</v>
      </c>
      <c r="X31" s="185">
        <f t="shared" si="115"/>
        <v>0</v>
      </c>
      <c r="Y31" s="185">
        <f t="shared" si="115"/>
        <v>0</v>
      </c>
      <c r="Z31" s="185">
        <f t="shared" si="115"/>
        <v>0</v>
      </c>
      <c r="AA31" s="185">
        <f t="shared" si="115"/>
        <v>0</v>
      </c>
      <c r="AB31" s="185">
        <f t="shared" si="115"/>
        <v>0</v>
      </c>
      <c r="AC31" s="185">
        <f t="shared" si="115"/>
        <v>0</v>
      </c>
      <c r="AD31" s="185">
        <f t="shared" si="115"/>
        <v>0</v>
      </c>
      <c r="AE31" s="185">
        <f t="shared" si="115"/>
        <v>0</v>
      </c>
      <c r="AF31" s="185">
        <f t="shared" si="115"/>
        <v>0</v>
      </c>
      <c r="AG31" s="185">
        <f t="shared" si="115"/>
        <v>0</v>
      </c>
      <c r="AH31" s="185">
        <f t="shared" si="115"/>
        <v>0</v>
      </c>
      <c r="AI31" s="185">
        <f t="shared" si="115"/>
        <v>0</v>
      </c>
      <c r="AJ31" s="185">
        <f t="shared" si="115"/>
        <v>0</v>
      </c>
      <c r="AK31" s="185">
        <f t="shared" si="115"/>
        <v>0</v>
      </c>
      <c r="AL31" s="185">
        <f t="shared" si="115"/>
        <v>0</v>
      </c>
      <c r="AM31" s="185">
        <f t="shared" si="115"/>
        <v>0</v>
      </c>
      <c r="AN31" s="185">
        <f t="shared" si="115"/>
        <v>0</v>
      </c>
      <c r="AO31" s="185">
        <f t="shared" si="115"/>
        <v>41500</v>
      </c>
      <c r="AP31" s="185">
        <f t="shared" si="115"/>
        <v>26600</v>
      </c>
      <c r="AQ31" s="185">
        <f t="shared" si="115"/>
        <v>14900</v>
      </c>
      <c r="AR31" s="170"/>
      <c r="AS31" s="170"/>
    </row>
    <row r="32" ht="21.0" customHeight="1">
      <c r="A32" s="187" t="s">
        <v>158</v>
      </c>
      <c r="B32" s="187" t="s">
        <v>115</v>
      </c>
      <c r="C32" s="188" t="s">
        <v>159</v>
      </c>
      <c r="D32" s="188" t="s">
        <v>160</v>
      </c>
      <c r="E32" s="189">
        <f>F31</f>
        <v>0</v>
      </c>
      <c r="F32" s="189">
        <f>F31</f>
        <v>0</v>
      </c>
      <c r="G32" s="190">
        <v>0.0</v>
      </c>
      <c r="H32" s="189">
        <f>I31</f>
        <v>26600</v>
      </c>
      <c r="I32" s="189">
        <f>I31</f>
        <v>26600</v>
      </c>
      <c r="J32" s="190">
        <v>0.0</v>
      </c>
      <c r="K32" s="189">
        <f>L31</f>
        <v>0</v>
      </c>
      <c r="L32" s="189">
        <f>L31</f>
        <v>0</v>
      </c>
      <c r="M32" s="190">
        <v>0.0</v>
      </c>
      <c r="N32" s="189">
        <f>O31</f>
        <v>0</v>
      </c>
      <c r="O32" s="189">
        <f>O31</f>
        <v>0</v>
      </c>
      <c r="P32" s="191">
        <v>0.0</v>
      </c>
      <c r="Q32" s="191">
        <f>R31</f>
        <v>0</v>
      </c>
      <c r="R32" s="191">
        <f>R31</f>
        <v>0</v>
      </c>
      <c r="S32" s="191">
        <v>0.0</v>
      </c>
      <c r="T32" s="191">
        <f>U31</f>
        <v>0</v>
      </c>
      <c r="U32" s="191">
        <f>U31</f>
        <v>0</v>
      </c>
      <c r="V32" s="190">
        <v>0.0</v>
      </c>
      <c r="W32" s="189">
        <f>X31</f>
        <v>0</v>
      </c>
      <c r="X32" s="189">
        <f>X31</f>
        <v>0</v>
      </c>
      <c r="Y32" s="190">
        <v>0.0</v>
      </c>
      <c r="Z32" s="189">
        <f>AA31</f>
        <v>0</v>
      </c>
      <c r="AA32" s="189">
        <f>AA31</f>
        <v>0</v>
      </c>
      <c r="AB32" s="190">
        <v>0.0</v>
      </c>
      <c r="AC32" s="189">
        <f>AD31</f>
        <v>0</v>
      </c>
      <c r="AD32" s="189">
        <f>AD31</f>
        <v>0</v>
      </c>
      <c r="AE32" s="190">
        <v>0.0</v>
      </c>
      <c r="AF32" s="189">
        <f>AG31</f>
        <v>0</v>
      </c>
      <c r="AG32" s="189">
        <f>AG31</f>
        <v>0</v>
      </c>
      <c r="AH32" s="190">
        <v>0.0</v>
      </c>
      <c r="AI32" s="189">
        <f>AJ31</f>
        <v>0</v>
      </c>
      <c r="AJ32" s="189">
        <f>AJ31</f>
        <v>0</v>
      </c>
      <c r="AK32" s="190">
        <v>0.0</v>
      </c>
      <c r="AL32" s="189">
        <f>AM31</f>
        <v>0</v>
      </c>
      <c r="AM32" s="189">
        <f>AM31</f>
        <v>0</v>
      </c>
      <c r="AN32" s="190">
        <v>0.0</v>
      </c>
      <c r="AO32" s="189">
        <f>AP31</f>
        <v>26600</v>
      </c>
      <c r="AP32" s="189">
        <f>AP31</f>
        <v>26600</v>
      </c>
      <c r="AQ32" s="190">
        <v>0.0</v>
      </c>
      <c r="AR32" s="170"/>
      <c r="AS32" s="170"/>
    </row>
    <row r="33" ht="21.0" customHeight="1">
      <c r="A33" s="192" t="s">
        <v>161</v>
      </c>
      <c r="B33" s="192" t="s">
        <v>118</v>
      </c>
      <c r="C33" s="192" t="s">
        <v>162</v>
      </c>
      <c r="D33" s="192" t="s">
        <v>160</v>
      </c>
      <c r="E33" s="193">
        <f>G31</f>
        <v>0</v>
      </c>
      <c r="F33" s="194">
        <v>0.0</v>
      </c>
      <c r="G33" s="193">
        <f>G31</f>
        <v>0</v>
      </c>
      <c r="H33" s="193">
        <f>J31</f>
        <v>14900</v>
      </c>
      <c r="I33" s="194">
        <v>0.0</v>
      </c>
      <c r="J33" s="193">
        <f>J31</f>
        <v>14900</v>
      </c>
      <c r="K33" s="193">
        <f>M31</f>
        <v>0</v>
      </c>
      <c r="L33" s="194">
        <v>0.0</v>
      </c>
      <c r="M33" s="193">
        <f>M31</f>
        <v>0</v>
      </c>
      <c r="N33" s="193">
        <f>P31</f>
        <v>0</v>
      </c>
      <c r="O33" s="194">
        <v>0.0</v>
      </c>
      <c r="P33" s="195">
        <f>P31</f>
        <v>0</v>
      </c>
      <c r="Q33" s="195">
        <f>S31</f>
        <v>0</v>
      </c>
      <c r="R33" s="195">
        <v>0.0</v>
      </c>
      <c r="S33" s="195">
        <f>S31</f>
        <v>0</v>
      </c>
      <c r="T33" s="195">
        <f>V31</f>
        <v>0</v>
      </c>
      <c r="U33" s="195">
        <v>0.0</v>
      </c>
      <c r="V33" s="193">
        <f>V31</f>
        <v>0</v>
      </c>
      <c r="W33" s="193">
        <f>Y31</f>
        <v>0</v>
      </c>
      <c r="X33" s="194">
        <v>0.0</v>
      </c>
      <c r="Y33" s="193">
        <f>Y31</f>
        <v>0</v>
      </c>
      <c r="Z33" s="193">
        <f>AB31</f>
        <v>0</v>
      </c>
      <c r="AA33" s="194">
        <v>0.0</v>
      </c>
      <c r="AB33" s="193">
        <f>AB31</f>
        <v>0</v>
      </c>
      <c r="AC33" s="193">
        <f>AE31</f>
        <v>0</v>
      </c>
      <c r="AD33" s="194">
        <v>0.0</v>
      </c>
      <c r="AE33" s="193">
        <f>AE31</f>
        <v>0</v>
      </c>
      <c r="AF33" s="193">
        <f>AH31</f>
        <v>0</v>
      </c>
      <c r="AG33" s="194">
        <v>0.0</v>
      </c>
      <c r="AH33" s="193">
        <f>AH31</f>
        <v>0</v>
      </c>
      <c r="AI33" s="193">
        <f>AK31</f>
        <v>0</v>
      </c>
      <c r="AJ33" s="194">
        <v>0.0</v>
      </c>
      <c r="AK33" s="193">
        <f>AK31</f>
        <v>0</v>
      </c>
      <c r="AL33" s="193">
        <f>AN31</f>
        <v>0</v>
      </c>
      <c r="AM33" s="194">
        <v>0.0</v>
      </c>
      <c r="AN33" s="193">
        <f>AN31</f>
        <v>0</v>
      </c>
      <c r="AO33" s="193">
        <f>AQ31</f>
        <v>14900</v>
      </c>
      <c r="AP33" s="194">
        <v>0.0</v>
      </c>
      <c r="AQ33" s="193">
        <f>AQ31</f>
        <v>14900</v>
      </c>
      <c r="AR33" s="170"/>
      <c r="AS33" s="170"/>
    </row>
    <row r="34" ht="21.0" customHeight="1">
      <c r="A34" s="196" t="s">
        <v>163</v>
      </c>
      <c r="B34" s="196" t="s">
        <v>164</v>
      </c>
      <c r="C34" s="196" t="s">
        <v>165</v>
      </c>
      <c r="D34" s="196" t="s">
        <v>166</v>
      </c>
      <c r="E34" s="196" t="str">
        <f>IF(E31=0,"OK",IF(ROUND(E31,2)=ROUND(F32+G33,2),"OK","MISMATCH"))</f>
        <v>OK</v>
      </c>
      <c r="F34" s="196" t="s">
        <v>167</v>
      </c>
      <c r="G34" s="196" t="s">
        <v>167</v>
      </c>
      <c r="H34" s="197" t="str">
        <f>IF(H31=0,"OK",IF(ROUND(H31,2)=ROUND(I32+J33,2),"OK","MISMATCH"))</f>
        <v>OK</v>
      </c>
      <c r="I34" s="196" t="s">
        <v>167</v>
      </c>
      <c r="J34" s="196" t="s">
        <v>167</v>
      </c>
      <c r="K34" s="197" t="str">
        <f>IF(K31=0,"OK",IF(ROUND(K31,2)=ROUND(L32+M33,2),"OK","MISMATCH"))</f>
        <v>OK</v>
      </c>
      <c r="L34" s="196" t="s">
        <v>167</v>
      </c>
      <c r="M34" s="196" t="s">
        <v>167</v>
      </c>
      <c r="N34" s="197" t="str">
        <f>IF(N31=0,"OK",IF(ROUND(N31,2)=ROUND(O32+P33,2),"OK","MISMATCH"))</f>
        <v>OK</v>
      </c>
      <c r="O34" s="196" t="s">
        <v>167</v>
      </c>
      <c r="P34" s="198" t="s">
        <v>167</v>
      </c>
      <c r="Q34" s="198" t="str">
        <f>IF(Q31=0,"OK",IF(ROUND(Q31,2)=ROUND(R32+S33,2),"OK","MISMATCH"))</f>
        <v>OK</v>
      </c>
      <c r="R34" s="198" t="s">
        <v>167</v>
      </c>
      <c r="S34" s="198" t="s">
        <v>167</v>
      </c>
      <c r="T34" s="198" t="str">
        <f>IF(T31=0,"OK",IF(ROUND(T31,2)=ROUND(U32+V33,2),"OK","MISMATCH"))</f>
        <v>OK</v>
      </c>
      <c r="U34" s="198" t="s">
        <v>167</v>
      </c>
      <c r="V34" s="196" t="s">
        <v>167</v>
      </c>
      <c r="W34" s="197" t="str">
        <f>IF(W31=0,"OK",IF(ROUND(W31,2)=ROUND(X32+Y33,2),"OK","MISMATCH"))</f>
        <v>OK</v>
      </c>
      <c r="X34" s="196" t="s">
        <v>167</v>
      </c>
      <c r="Y34" s="196" t="s">
        <v>167</v>
      </c>
      <c r="Z34" s="197" t="str">
        <f>IF(Z31=0,"OK",IF(ROUND(Z31,2)=ROUND(AA32+AB33,2),"OK","MISMATCH"))</f>
        <v>OK</v>
      </c>
      <c r="AA34" s="196" t="s">
        <v>167</v>
      </c>
      <c r="AB34" s="196" t="s">
        <v>167</v>
      </c>
      <c r="AC34" s="197" t="str">
        <f>IF(AC31=0,"OK",IF(ROUND(AC31,2)=ROUND(AD32+AE33,2),"OK","MISMATCH"))</f>
        <v>OK</v>
      </c>
      <c r="AD34" s="196" t="s">
        <v>167</v>
      </c>
      <c r="AE34" s="196" t="s">
        <v>167</v>
      </c>
      <c r="AF34" s="197" t="str">
        <f>IF(AF31=0,"OK",IF(ROUND(AF31,2)=ROUND(AG32+AH33,2),"OK","MISMATCH"))</f>
        <v>OK</v>
      </c>
      <c r="AG34" s="196" t="s">
        <v>167</v>
      </c>
      <c r="AH34" s="196" t="s">
        <v>167</v>
      </c>
      <c r="AI34" s="197" t="str">
        <f>IF(AI31=0,"OK",IF(ROUND(AI31,2)=ROUND(AJ32+AK33,2),"OK","MISMATCH"))</f>
        <v>OK</v>
      </c>
      <c r="AJ34" s="196" t="s">
        <v>167</v>
      </c>
      <c r="AK34" s="196" t="s">
        <v>167</v>
      </c>
      <c r="AL34" s="197" t="str">
        <f>IF(AL31=0,"OK",IF(ROUND(AL31,2)=ROUND(AM32+AN33,2),"OK","MISMATCH"))</f>
        <v>OK</v>
      </c>
      <c r="AM34" s="196" t="s">
        <v>167</v>
      </c>
      <c r="AN34" s="196" t="s">
        <v>167</v>
      </c>
      <c r="AO34" s="197" t="str">
        <f>IF(AO31=0,"OK",IF(ROUND(AO31,2)=ROUND(AP32+AQ33,2),"OK","MISMATCH"))</f>
        <v>OK</v>
      </c>
      <c r="AP34" s="196" t="s">
        <v>167</v>
      </c>
      <c r="AQ34" s="196" t="s">
        <v>167</v>
      </c>
      <c r="AR34" s="170"/>
      <c r="AS34" s="170"/>
    </row>
    <row r="35" ht="21.0" customHeight="1">
      <c r="A35" s="199" t="s">
        <v>168</v>
      </c>
      <c r="B35" s="199" t="s">
        <v>169</v>
      </c>
      <c r="C35" s="199" t="s">
        <v>170</v>
      </c>
      <c r="D35" s="199" t="s">
        <v>171</v>
      </c>
      <c r="E35" s="200" t="str">
        <f>IF(E31=0,"-",TEXT(F32/E31,"0.0%")&amp;" / "&amp;TEXT(G33/E31,"0.0%"))</f>
        <v>-</v>
      </c>
      <c r="F35" s="200" t="str">
        <f>IF(E31=0,"-",TEXT(F32/E31,"0.0%"))</f>
        <v>-</v>
      </c>
      <c r="G35" s="200" t="str">
        <f>IF(E31=0,"-",TEXT(G33/E31,"0.0%"))</f>
        <v>-</v>
      </c>
      <c r="H35" s="200" t="str">
        <f>IF(H31=0,"-",TEXT(I32/H31,"0.0%")&amp;" / "&amp;TEXT(J33/H31,"0.0%"))</f>
        <v>64.1% / 35.9%</v>
      </c>
      <c r="I35" s="200" t="str">
        <f>IF(H31=0,"-",TEXT(I32/H31,"0.0%"))</f>
        <v>64.1%</v>
      </c>
      <c r="J35" s="200" t="str">
        <f>IF(H31=0,"-",TEXT(J33/H31,"0.0%"))</f>
        <v>35.9%</v>
      </c>
      <c r="K35" s="200" t="str">
        <f>IF(K31=0,"-",TEXT(L32/K31,"0.0%")&amp;" / "&amp;TEXT(M33/K31,"0.0%"))</f>
        <v>-</v>
      </c>
      <c r="L35" s="200" t="str">
        <f>IF(K31=0,"-",TEXT(L32/K31,"0.0%"))</f>
        <v>-</v>
      </c>
      <c r="M35" s="200" t="str">
        <f>IF(K31=0,"-",TEXT(M33/K31,"0.0%"))</f>
        <v>-</v>
      </c>
      <c r="N35" s="200" t="str">
        <f>IF(N31=0,"-",TEXT(O32/N31,"0.0%")&amp;" / "&amp;TEXT(P33/N31,"0.0%"))</f>
        <v>-</v>
      </c>
      <c r="O35" s="200" t="str">
        <f>IF(N31=0,"-",TEXT(O32/N31,"0.0%"))</f>
        <v>-</v>
      </c>
      <c r="P35" s="201" t="str">
        <f>IF(N31=0,"-",TEXT(P33/N31,"0.0%"))</f>
        <v>-</v>
      </c>
      <c r="Q35" s="201" t="str">
        <f>IF(Q31=0,"-",TEXT(R32/Q31,"0.0%")&amp;" / "&amp;TEXT(S33/Q31,"0.0%"))</f>
        <v>-</v>
      </c>
      <c r="R35" s="201" t="str">
        <f>IF(Q31=0,"-",TEXT(R32/Q31,"0.0%"))</f>
        <v>-</v>
      </c>
      <c r="S35" s="201" t="str">
        <f>IF(Q31=0,"-",TEXT(S33/Q31,"0.0%"))</f>
        <v>-</v>
      </c>
      <c r="T35" s="201" t="str">
        <f>IF(T31=0,"-",TEXT(U32/T31,"0.0%")&amp;" / "&amp;TEXT(V33/T31,"0.0%"))</f>
        <v>-</v>
      </c>
      <c r="U35" s="201" t="str">
        <f>IF(T31=0,"-",TEXT(U32/T31,"0.0%"))</f>
        <v>-</v>
      </c>
      <c r="V35" s="200" t="str">
        <f>IF(T31=0,"-",TEXT(V33/T31,"0.0%"))</f>
        <v>-</v>
      </c>
      <c r="W35" s="200" t="str">
        <f>IF(W31=0,"-",TEXT(X32/W31,"0.0%")&amp;" / "&amp;TEXT(Y33/W31,"0.0%"))</f>
        <v>-</v>
      </c>
      <c r="X35" s="200" t="str">
        <f>IF(W31=0,"-",TEXT(X32/W31,"0.0%"))</f>
        <v>-</v>
      </c>
      <c r="Y35" s="200" t="str">
        <f>IF(W31=0,"-",TEXT(Y33/W31,"0.0%"))</f>
        <v>-</v>
      </c>
      <c r="Z35" s="200" t="str">
        <f>IF(Z31=0,"-",TEXT(AA32/Z31,"0.0%")&amp;" / "&amp;TEXT(AB33/Z31,"0.0%"))</f>
        <v>-</v>
      </c>
      <c r="AA35" s="200" t="str">
        <f>IF(Z31=0,"-",TEXT(AA32/Z31,"0.0%"))</f>
        <v>-</v>
      </c>
      <c r="AB35" s="200" t="str">
        <f>IF(Z31=0,"-",TEXT(AB33/Z31,"0.0%"))</f>
        <v>-</v>
      </c>
      <c r="AC35" s="200" t="str">
        <f>IF(AC31=0,"-",TEXT(AD32/AC31,"0.0%")&amp;" / "&amp;TEXT(AE33/AC31,"0.0%"))</f>
        <v>-</v>
      </c>
      <c r="AD35" s="200" t="str">
        <f>IF(AC31=0,"-",TEXT(AD32/AC31,"0.0%"))</f>
        <v>-</v>
      </c>
      <c r="AE35" s="200" t="str">
        <f>IF(AC31=0,"-",TEXT(AE33/AC31,"0.0%"))</f>
        <v>-</v>
      </c>
      <c r="AF35" s="200" t="str">
        <f>IF(AF31=0,"-",TEXT(AG32/AF31,"0.0%")&amp;" / "&amp;TEXT(AH33/AF31,"0.0%"))</f>
        <v>-</v>
      </c>
      <c r="AG35" s="200" t="str">
        <f>IF(AF31=0,"-",TEXT(AG32/AF31,"0.0%"))</f>
        <v>-</v>
      </c>
      <c r="AH35" s="200" t="str">
        <f>IF(AF31=0,"-",TEXT(AH33/AF31,"0.0%"))</f>
        <v>-</v>
      </c>
      <c r="AI35" s="200" t="str">
        <f>IF(AI31=0,"-",TEXT(AJ32/AI31,"0.0%")&amp;" / "&amp;TEXT(AK33/AI31,"0.0%"))</f>
        <v>-</v>
      </c>
      <c r="AJ35" s="200" t="str">
        <f>IF(AI31=0,"-",TEXT(AJ32/AI31,"0.0%"))</f>
        <v>-</v>
      </c>
      <c r="AK35" s="200" t="str">
        <f>IF(AI31=0,"-",TEXT(AK33/AI31,"0.0%"))</f>
        <v>-</v>
      </c>
      <c r="AL35" s="200" t="str">
        <f>IF(AL31=0,"-",TEXT(AM32/AL31,"0.0%")&amp;" / "&amp;TEXT(AN33/AL31,"0.0%"))</f>
        <v>-</v>
      </c>
      <c r="AM35" s="200" t="str">
        <f>IF(AL31=0,"-",TEXT(AM32/AL31,"0.0%"))</f>
        <v>-</v>
      </c>
      <c r="AN35" s="200" t="str">
        <f>IF(AL31=0,"-",TEXT(AN33/AL31,"0.0%"))</f>
        <v>-</v>
      </c>
      <c r="AO35" s="200" t="str">
        <f>IF(AO31=0,"-",TEXT(AP32/AO31,"0.0%")&amp;" / "&amp;TEXT(AQ33/AO31,"0.0%"))</f>
        <v>64.1% / 35.9%</v>
      </c>
      <c r="AP35" s="200" t="str">
        <f>IF(AO31=0,"-",TEXT(AP32/AO31,"0.0%"))</f>
        <v>64.1%</v>
      </c>
      <c r="AQ35" s="200" t="str">
        <f>IF(AO31=0,"-",TEXT(AQ33/AO31,"0.0%"))</f>
        <v>35.9%</v>
      </c>
      <c r="AR35" s="170"/>
      <c r="AS35" s="170"/>
    </row>
    <row r="36" ht="21.0" customHeight="1">
      <c r="A36" s="202"/>
      <c r="B36" s="203"/>
      <c r="C36" s="203"/>
      <c r="D36" s="203"/>
      <c r="E36" s="203"/>
      <c r="F36" s="203"/>
      <c r="G36" s="204"/>
      <c r="H36" s="170"/>
      <c r="I36" s="170"/>
      <c r="J36" s="170"/>
      <c r="K36" s="170"/>
      <c r="L36" s="170"/>
      <c r="M36" s="170"/>
      <c r="N36" s="205"/>
      <c r="O36" s="170"/>
      <c r="P36" s="206"/>
      <c r="Q36" s="206"/>
      <c r="R36" s="206"/>
      <c r="S36" s="206"/>
      <c r="T36" s="206"/>
      <c r="U36" s="206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</row>
    <row r="37" ht="18.0" customHeight="1">
      <c r="A37" s="207"/>
      <c r="B37" s="208"/>
      <c r="C37" s="208"/>
      <c r="D37" s="208"/>
      <c r="E37" s="208"/>
      <c r="F37" s="209"/>
      <c r="G37" s="210"/>
      <c r="H37" s="170"/>
      <c r="I37" s="170"/>
      <c r="J37" s="170"/>
      <c r="K37" s="170"/>
      <c r="L37" s="170"/>
      <c r="M37" s="170"/>
      <c r="N37" s="205"/>
      <c r="O37" s="170"/>
      <c r="P37" s="206"/>
      <c r="Q37" s="206"/>
      <c r="R37" s="206"/>
      <c r="S37" s="206"/>
      <c r="T37" s="206"/>
      <c r="U37" s="206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</row>
    <row r="38" ht="15.75" customHeight="1">
      <c r="A38" s="211"/>
      <c r="B38" s="212"/>
      <c r="C38" s="213"/>
      <c r="D38" s="214"/>
      <c r="E38" s="213"/>
      <c r="F38" s="215"/>
      <c r="G38" s="216"/>
      <c r="H38" s="170"/>
      <c r="I38" s="170"/>
      <c r="J38" s="170"/>
      <c r="K38" s="170"/>
      <c r="L38" s="170"/>
      <c r="M38" s="170"/>
      <c r="N38" s="205"/>
      <c r="O38" s="170"/>
      <c r="P38" s="206"/>
      <c r="Q38" s="206"/>
      <c r="R38" s="206"/>
      <c r="S38" s="206"/>
      <c r="T38" s="206"/>
      <c r="U38" s="206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</row>
    <row r="39" ht="15.75" customHeight="1">
      <c r="A39" s="211"/>
      <c r="B39" s="212"/>
      <c r="C39" s="213"/>
      <c r="D39" s="214"/>
      <c r="E39" s="214"/>
      <c r="F39" s="215"/>
      <c r="G39" s="216"/>
      <c r="H39" s="170"/>
      <c r="I39" s="170"/>
      <c r="J39" s="170"/>
      <c r="K39" s="170"/>
      <c r="L39" s="170"/>
      <c r="M39" s="170"/>
      <c r="N39" s="205"/>
      <c r="O39" s="170"/>
      <c r="P39" s="170"/>
      <c r="Q39" s="170"/>
      <c r="R39" s="205"/>
      <c r="S39" s="71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</row>
    <row r="40" ht="15.75" customHeight="1">
      <c r="A40" s="211"/>
      <c r="B40" s="212"/>
      <c r="C40" s="213"/>
      <c r="D40" s="213"/>
      <c r="E40" s="213"/>
      <c r="F40" s="215"/>
      <c r="G40" s="216"/>
      <c r="H40" s="170"/>
      <c r="I40" s="170"/>
      <c r="J40" s="170"/>
      <c r="K40" s="170"/>
      <c r="L40" s="170"/>
      <c r="M40" s="170"/>
      <c r="N40" s="205"/>
      <c r="O40" s="170"/>
      <c r="P40" s="170"/>
      <c r="Q40" s="170"/>
      <c r="R40" s="205"/>
      <c r="S40" s="71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</row>
    <row r="41" ht="15.75" customHeight="1">
      <c r="A41" s="211"/>
      <c r="B41" s="212"/>
      <c r="C41" s="213"/>
      <c r="D41" s="213"/>
      <c r="E41" s="214"/>
      <c r="F41" s="215"/>
      <c r="G41" s="216"/>
      <c r="H41" s="170"/>
      <c r="I41" s="170"/>
      <c r="J41" s="170"/>
      <c r="K41" s="170"/>
      <c r="L41" s="170"/>
      <c r="M41" s="170"/>
      <c r="N41" s="205"/>
      <c r="O41" s="170"/>
      <c r="P41" s="170"/>
      <c r="Q41" s="170"/>
      <c r="R41" s="205"/>
      <c r="S41" s="71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</row>
    <row r="42" ht="15.75" customHeight="1">
      <c r="A42" s="211"/>
      <c r="B42" s="212"/>
      <c r="C42" s="213"/>
      <c r="D42" s="213"/>
      <c r="E42" s="213"/>
      <c r="F42" s="215"/>
      <c r="G42" s="216"/>
      <c r="H42" s="170"/>
      <c r="I42" s="170"/>
      <c r="J42" s="170"/>
      <c r="K42" s="170"/>
      <c r="L42" s="170"/>
      <c r="M42" s="170"/>
      <c r="N42" s="205"/>
      <c r="O42" s="170"/>
      <c r="P42" s="170"/>
      <c r="Q42" s="170"/>
      <c r="R42" s="205"/>
      <c r="S42" s="71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</row>
    <row r="43" ht="15.75" customHeight="1">
      <c r="A43" s="211"/>
      <c r="B43" s="212"/>
      <c r="C43" s="213"/>
      <c r="D43" s="213"/>
      <c r="E43" s="213"/>
      <c r="F43" s="215"/>
      <c r="G43" s="216"/>
      <c r="H43" s="170"/>
      <c r="I43" s="170"/>
      <c r="J43" s="170"/>
      <c r="K43" s="170"/>
      <c r="L43" s="170"/>
      <c r="M43" s="170"/>
      <c r="N43" s="205"/>
      <c r="O43" s="170"/>
      <c r="P43" s="170"/>
      <c r="Q43" s="170"/>
      <c r="R43" s="205"/>
      <c r="S43" s="71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</row>
    <row r="44" ht="18.0" customHeight="1">
      <c r="A44" s="217"/>
      <c r="B44" s="218"/>
      <c r="C44" s="219"/>
      <c r="D44" s="219"/>
      <c r="E44" s="219"/>
      <c r="F44" s="220"/>
      <c r="G44" s="221"/>
      <c r="H44" s="170"/>
      <c r="I44" s="170"/>
      <c r="J44" s="170"/>
      <c r="K44" s="170"/>
      <c r="L44" s="170"/>
      <c r="M44" s="170"/>
      <c r="N44" s="205"/>
      <c r="O44" s="170"/>
      <c r="P44" s="170"/>
      <c r="Q44" s="170"/>
      <c r="R44" s="205"/>
      <c r="S44" s="71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</row>
    <row r="45" ht="7.5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205"/>
      <c r="O45" s="170"/>
      <c r="P45" s="170"/>
      <c r="Q45" s="170"/>
      <c r="R45" s="205"/>
      <c r="S45" s="71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</row>
    <row r="46" ht="21.0" customHeight="1">
      <c r="A46" s="222"/>
      <c r="B46" s="223"/>
      <c r="C46" s="224"/>
      <c r="D46" s="224"/>
      <c r="E46" s="224"/>
      <c r="F46" s="224"/>
      <c r="G46" s="225"/>
      <c r="H46" s="170"/>
      <c r="I46" s="170"/>
      <c r="J46" s="170"/>
      <c r="K46" s="170"/>
      <c r="L46" s="170"/>
      <c r="M46" s="170"/>
      <c r="N46" s="205"/>
      <c r="O46" s="170"/>
      <c r="P46" s="170"/>
      <c r="Q46" s="170"/>
      <c r="R46" s="205"/>
      <c r="S46" s="71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</row>
    <row r="47" ht="9.0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205"/>
      <c r="O47" s="170"/>
      <c r="P47" s="170"/>
      <c r="Q47" s="170"/>
      <c r="R47" s="205"/>
      <c r="S47" s="71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</row>
    <row r="48" ht="16.5" customHeight="1">
      <c r="A48" s="226"/>
      <c r="B48" s="226"/>
      <c r="C48" s="226"/>
      <c r="D48" s="226"/>
      <c r="E48" s="226"/>
      <c r="F48" s="226"/>
      <c r="G48" s="226"/>
      <c r="H48" s="170"/>
      <c r="I48" s="170"/>
      <c r="J48" s="170"/>
      <c r="K48" s="170"/>
      <c r="L48" s="170"/>
      <c r="M48" s="170"/>
      <c r="N48" s="205"/>
      <c r="O48" s="170"/>
      <c r="P48" s="170"/>
      <c r="Q48" s="170"/>
      <c r="R48" s="205"/>
      <c r="S48" s="71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205"/>
      <c r="O49" s="170"/>
      <c r="P49" s="170"/>
      <c r="Q49" s="170"/>
      <c r="R49" s="205"/>
      <c r="S49" s="71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205"/>
      <c r="O50" s="170"/>
      <c r="P50" s="170"/>
      <c r="Q50" s="170"/>
      <c r="R50" s="205"/>
      <c r="S50" s="71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</row>
    <row r="51">
      <c r="L51" s="227"/>
      <c r="N51" s="228"/>
      <c r="R51" s="228"/>
      <c r="S51" s="229"/>
    </row>
    <row r="52">
      <c r="L52" s="227"/>
      <c r="N52" s="228"/>
      <c r="R52" s="228"/>
      <c r="S52" s="229"/>
    </row>
    <row r="53">
      <c r="L53" s="227"/>
      <c r="N53" s="228"/>
      <c r="R53" s="228"/>
      <c r="S53" s="229"/>
    </row>
    <row r="54">
      <c r="L54" s="227"/>
      <c r="N54" s="228"/>
      <c r="R54" s="228"/>
      <c r="S54" s="229"/>
    </row>
    <row r="55">
      <c r="L55" s="227"/>
      <c r="N55" s="228"/>
      <c r="R55" s="228"/>
      <c r="S55" s="229"/>
    </row>
    <row r="56">
      <c r="L56" s="227"/>
      <c r="N56" s="228"/>
      <c r="R56" s="228"/>
      <c r="S56" s="229"/>
    </row>
    <row r="57">
      <c r="L57" s="227"/>
      <c r="N57" s="228"/>
      <c r="R57" s="228"/>
      <c r="S57" s="229"/>
    </row>
    <row r="58">
      <c r="L58" s="227"/>
      <c r="N58" s="228"/>
      <c r="R58" s="228"/>
      <c r="S58" s="229"/>
    </row>
    <row r="59">
      <c r="L59" s="227"/>
      <c r="N59" s="228"/>
      <c r="R59" s="228"/>
      <c r="S59" s="229"/>
    </row>
    <row r="60">
      <c r="L60" s="227"/>
      <c r="N60" s="228"/>
      <c r="R60" s="228"/>
      <c r="S60" s="229"/>
    </row>
    <row r="61">
      <c r="L61" s="227"/>
      <c r="N61" s="228"/>
      <c r="R61" s="228"/>
      <c r="S61" s="229"/>
    </row>
    <row r="62">
      <c r="L62" s="227"/>
      <c r="N62" s="228"/>
      <c r="R62" s="228"/>
      <c r="S62" s="229"/>
    </row>
    <row r="63">
      <c r="L63" s="227"/>
      <c r="N63" s="228"/>
      <c r="R63" s="228"/>
      <c r="S63" s="229"/>
    </row>
    <row r="64">
      <c r="L64" s="227"/>
      <c r="N64" s="228"/>
      <c r="R64" s="228"/>
      <c r="S64" s="229"/>
    </row>
    <row r="65">
      <c r="L65" s="227"/>
      <c r="N65" s="228"/>
      <c r="R65" s="228"/>
      <c r="S65" s="229"/>
    </row>
    <row r="66">
      <c r="L66" s="227"/>
      <c r="N66" s="228"/>
      <c r="R66" s="228"/>
      <c r="S66" s="229"/>
    </row>
    <row r="67">
      <c r="L67" s="227"/>
      <c r="N67" s="228"/>
      <c r="R67" s="228"/>
      <c r="S67" s="229"/>
    </row>
    <row r="68">
      <c r="L68" s="227"/>
      <c r="N68" s="228"/>
      <c r="R68" s="228"/>
      <c r="S68" s="229"/>
    </row>
    <row r="69">
      <c r="L69" s="227"/>
      <c r="N69" s="228"/>
      <c r="R69" s="228"/>
      <c r="S69" s="229"/>
    </row>
    <row r="70">
      <c r="L70" s="227"/>
      <c r="N70" s="228"/>
      <c r="R70" s="228"/>
      <c r="S70" s="229"/>
    </row>
    <row r="71">
      <c r="L71" s="227"/>
      <c r="N71" s="228"/>
      <c r="R71" s="228"/>
      <c r="S71" s="229"/>
    </row>
    <row r="72">
      <c r="L72" s="227"/>
      <c r="N72" s="228"/>
      <c r="R72" s="228"/>
      <c r="S72" s="229"/>
    </row>
    <row r="73">
      <c r="L73" s="227"/>
      <c r="N73" s="228"/>
      <c r="R73" s="228"/>
      <c r="S73" s="229"/>
    </row>
    <row r="74">
      <c r="L74" s="227"/>
      <c r="N74" s="228"/>
      <c r="R74" s="228"/>
      <c r="S74" s="229"/>
    </row>
    <row r="75">
      <c r="L75" s="227"/>
      <c r="N75" s="228"/>
      <c r="R75" s="228"/>
      <c r="S75" s="229"/>
    </row>
    <row r="76">
      <c r="L76" s="227"/>
      <c r="N76" s="228"/>
      <c r="R76" s="228"/>
      <c r="S76" s="229"/>
    </row>
    <row r="77">
      <c r="L77" s="227"/>
      <c r="N77" s="228"/>
      <c r="R77" s="228"/>
      <c r="S77" s="229"/>
    </row>
    <row r="78">
      <c r="L78" s="227"/>
      <c r="N78" s="228"/>
      <c r="R78" s="228"/>
      <c r="S78" s="229"/>
    </row>
    <row r="79">
      <c r="L79" s="227"/>
      <c r="N79" s="228"/>
      <c r="R79" s="228"/>
      <c r="S79" s="229"/>
    </row>
    <row r="80">
      <c r="L80" s="227"/>
      <c r="N80" s="228"/>
      <c r="R80" s="228"/>
      <c r="S80" s="229"/>
    </row>
    <row r="81">
      <c r="L81" s="227"/>
      <c r="N81" s="228"/>
      <c r="R81" s="228"/>
      <c r="S81" s="229"/>
    </row>
    <row r="82">
      <c r="L82" s="227"/>
      <c r="N82" s="228"/>
      <c r="R82" s="228"/>
      <c r="S82" s="229"/>
    </row>
    <row r="83">
      <c r="L83" s="227"/>
      <c r="N83" s="228"/>
      <c r="R83" s="228"/>
      <c r="S83" s="229"/>
    </row>
    <row r="84">
      <c r="L84" s="227"/>
      <c r="N84" s="228"/>
      <c r="R84" s="228"/>
      <c r="S84" s="229"/>
    </row>
    <row r="85">
      <c r="L85" s="227"/>
      <c r="N85" s="228"/>
      <c r="R85" s="228"/>
      <c r="S85" s="229"/>
    </row>
    <row r="86">
      <c r="L86" s="227"/>
      <c r="N86" s="228"/>
      <c r="R86" s="228"/>
      <c r="S86" s="229"/>
    </row>
    <row r="87">
      <c r="L87" s="227"/>
      <c r="N87" s="228"/>
      <c r="R87" s="228"/>
      <c r="S87" s="229"/>
    </row>
    <row r="88">
      <c r="L88" s="227"/>
      <c r="N88" s="228"/>
      <c r="R88" s="228"/>
      <c r="S88" s="229"/>
    </row>
    <row r="89">
      <c r="L89" s="227"/>
      <c r="N89" s="228"/>
      <c r="R89" s="228"/>
      <c r="S89" s="229"/>
    </row>
    <row r="90">
      <c r="L90" s="227"/>
      <c r="N90" s="228"/>
      <c r="R90" s="228"/>
      <c r="S90" s="229"/>
    </row>
    <row r="91">
      <c r="L91" s="227"/>
      <c r="N91" s="228"/>
      <c r="R91" s="228"/>
      <c r="S91" s="229"/>
    </row>
    <row r="92">
      <c r="L92" s="227"/>
      <c r="N92" s="228"/>
      <c r="R92" s="228"/>
      <c r="S92" s="229"/>
    </row>
    <row r="93">
      <c r="L93" s="227"/>
      <c r="N93" s="228"/>
      <c r="R93" s="228"/>
      <c r="S93" s="229"/>
    </row>
    <row r="94">
      <c r="L94" s="227"/>
      <c r="N94" s="228"/>
      <c r="R94" s="228"/>
      <c r="S94" s="229"/>
    </row>
    <row r="95">
      <c r="L95" s="227"/>
      <c r="N95" s="228"/>
      <c r="R95" s="228"/>
      <c r="S95" s="229"/>
    </row>
    <row r="96">
      <c r="L96" s="227"/>
      <c r="N96" s="228"/>
      <c r="R96" s="228"/>
      <c r="S96" s="229"/>
    </row>
    <row r="97">
      <c r="L97" s="227"/>
      <c r="N97" s="228"/>
      <c r="R97" s="228"/>
      <c r="S97" s="229"/>
    </row>
    <row r="98">
      <c r="L98" s="227"/>
      <c r="N98" s="228"/>
      <c r="R98" s="228"/>
      <c r="S98" s="229"/>
    </row>
    <row r="99">
      <c r="L99" s="227"/>
      <c r="N99" s="228"/>
      <c r="R99" s="228"/>
      <c r="S99" s="229"/>
    </row>
    <row r="100">
      <c r="L100" s="227"/>
      <c r="N100" s="228"/>
      <c r="R100" s="228"/>
      <c r="S100" s="229"/>
    </row>
    <row r="101">
      <c r="L101" s="227"/>
      <c r="N101" s="228"/>
      <c r="R101" s="228"/>
      <c r="S101" s="229"/>
    </row>
    <row r="102">
      <c r="L102" s="227"/>
      <c r="N102" s="228"/>
      <c r="R102" s="228"/>
      <c r="S102" s="229"/>
    </row>
    <row r="103">
      <c r="L103" s="227"/>
      <c r="N103" s="228"/>
      <c r="R103" s="228"/>
      <c r="S103" s="229"/>
    </row>
    <row r="104">
      <c r="L104" s="227"/>
      <c r="N104" s="228"/>
      <c r="R104" s="228"/>
      <c r="S104" s="229"/>
    </row>
    <row r="105">
      <c r="L105" s="227"/>
      <c r="N105" s="228"/>
      <c r="R105" s="228"/>
      <c r="S105" s="229"/>
    </row>
    <row r="106">
      <c r="L106" s="227"/>
      <c r="N106" s="228"/>
      <c r="R106" s="228"/>
      <c r="S106" s="229"/>
    </row>
    <row r="107">
      <c r="L107" s="227"/>
      <c r="N107" s="228"/>
      <c r="R107" s="228"/>
      <c r="S107" s="229"/>
    </row>
    <row r="108">
      <c r="L108" s="227"/>
      <c r="N108" s="228"/>
      <c r="R108" s="228"/>
      <c r="S108" s="229"/>
    </row>
    <row r="109">
      <c r="L109" s="227"/>
      <c r="N109" s="228"/>
      <c r="R109" s="228"/>
      <c r="S109" s="229"/>
    </row>
    <row r="110">
      <c r="L110" s="227"/>
      <c r="N110" s="228"/>
      <c r="R110" s="228"/>
      <c r="S110" s="229"/>
    </row>
    <row r="111">
      <c r="L111" s="227"/>
      <c r="N111" s="228"/>
      <c r="R111" s="228"/>
      <c r="S111" s="229"/>
    </row>
    <row r="112">
      <c r="L112" s="227"/>
      <c r="N112" s="228"/>
      <c r="R112" s="228"/>
      <c r="S112" s="229"/>
    </row>
    <row r="113">
      <c r="L113" s="227"/>
      <c r="N113" s="228"/>
      <c r="R113" s="228"/>
      <c r="S113" s="229"/>
    </row>
    <row r="114">
      <c r="L114" s="227"/>
      <c r="N114" s="228"/>
      <c r="R114" s="228"/>
      <c r="S114" s="229"/>
    </row>
    <row r="115">
      <c r="L115" s="227"/>
      <c r="N115" s="228"/>
      <c r="R115" s="228"/>
      <c r="S115" s="229"/>
    </row>
    <row r="116">
      <c r="L116" s="227"/>
      <c r="N116" s="228"/>
      <c r="R116" s="228"/>
      <c r="S116" s="229"/>
    </row>
    <row r="117">
      <c r="L117" s="227"/>
      <c r="N117" s="228"/>
      <c r="R117" s="228"/>
      <c r="S117" s="229"/>
    </row>
    <row r="118">
      <c r="L118" s="227"/>
      <c r="N118" s="228"/>
      <c r="R118" s="228"/>
      <c r="S118" s="229"/>
    </row>
    <row r="119">
      <c r="L119" s="227"/>
      <c r="N119" s="228"/>
      <c r="R119" s="228"/>
      <c r="S119" s="229"/>
    </row>
    <row r="120">
      <c r="L120" s="227"/>
      <c r="N120" s="228"/>
      <c r="R120" s="228"/>
      <c r="S120" s="229"/>
    </row>
    <row r="121">
      <c r="L121" s="227"/>
      <c r="N121" s="228"/>
      <c r="R121" s="228"/>
      <c r="S121" s="229"/>
    </row>
    <row r="122">
      <c r="L122" s="227"/>
      <c r="N122" s="228"/>
      <c r="R122" s="228"/>
      <c r="S122" s="229"/>
    </row>
    <row r="123">
      <c r="L123" s="227"/>
      <c r="N123" s="228"/>
      <c r="R123" s="228"/>
      <c r="S123" s="229"/>
    </row>
    <row r="124">
      <c r="L124" s="227"/>
      <c r="N124" s="228"/>
      <c r="R124" s="228"/>
      <c r="S124" s="229"/>
    </row>
    <row r="125">
      <c r="L125" s="227"/>
      <c r="N125" s="228"/>
      <c r="R125" s="228"/>
      <c r="S125" s="229"/>
    </row>
    <row r="126">
      <c r="L126" s="227"/>
      <c r="N126" s="228"/>
      <c r="R126" s="228"/>
      <c r="S126" s="229"/>
    </row>
    <row r="127">
      <c r="L127" s="227"/>
      <c r="N127" s="228"/>
      <c r="R127" s="228"/>
      <c r="S127" s="229"/>
    </row>
    <row r="128">
      <c r="L128" s="227"/>
      <c r="N128" s="228"/>
      <c r="R128" s="228"/>
      <c r="S128" s="229"/>
    </row>
    <row r="129">
      <c r="L129" s="227"/>
      <c r="N129" s="228"/>
      <c r="R129" s="228"/>
      <c r="S129" s="229"/>
    </row>
    <row r="130">
      <c r="L130" s="227"/>
      <c r="N130" s="228"/>
      <c r="R130" s="228"/>
      <c r="S130" s="229"/>
    </row>
    <row r="131">
      <c r="L131" s="227"/>
      <c r="N131" s="228"/>
      <c r="R131" s="228"/>
      <c r="S131" s="229"/>
    </row>
    <row r="132">
      <c r="L132" s="227"/>
      <c r="N132" s="228"/>
      <c r="R132" s="228"/>
      <c r="S132" s="229"/>
    </row>
    <row r="133">
      <c r="L133" s="227"/>
      <c r="N133" s="228"/>
      <c r="R133" s="228"/>
      <c r="S133" s="229"/>
    </row>
    <row r="134">
      <c r="L134" s="227"/>
      <c r="N134" s="228"/>
      <c r="R134" s="228"/>
      <c r="S134" s="229"/>
    </row>
    <row r="135">
      <c r="L135" s="227"/>
      <c r="N135" s="228"/>
      <c r="R135" s="228"/>
      <c r="S135" s="229"/>
    </row>
    <row r="136">
      <c r="L136" s="227"/>
      <c r="N136" s="228"/>
      <c r="R136" s="228"/>
      <c r="S136" s="229"/>
    </row>
    <row r="137">
      <c r="L137" s="227"/>
      <c r="N137" s="228"/>
      <c r="R137" s="228"/>
      <c r="S137" s="229"/>
    </row>
    <row r="138">
      <c r="L138" s="227"/>
      <c r="N138" s="228"/>
      <c r="R138" s="228"/>
      <c r="S138" s="229"/>
    </row>
    <row r="139">
      <c r="L139" s="227"/>
      <c r="N139" s="228"/>
      <c r="R139" s="228"/>
      <c r="S139" s="229"/>
    </row>
    <row r="140">
      <c r="L140" s="227"/>
      <c r="N140" s="228"/>
      <c r="R140" s="228"/>
      <c r="S140" s="229"/>
    </row>
    <row r="141">
      <c r="L141" s="227"/>
      <c r="N141" s="228"/>
      <c r="R141" s="228"/>
      <c r="S141" s="229"/>
    </row>
    <row r="142">
      <c r="L142" s="227"/>
      <c r="N142" s="228"/>
      <c r="R142" s="228"/>
      <c r="S142" s="229"/>
    </row>
    <row r="143">
      <c r="L143" s="227"/>
      <c r="N143" s="228"/>
      <c r="R143" s="228"/>
      <c r="S143" s="229"/>
    </row>
    <row r="144">
      <c r="L144" s="227"/>
      <c r="N144" s="228"/>
      <c r="R144" s="228"/>
      <c r="S144" s="229"/>
    </row>
    <row r="145">
      <c r="L145" s="227"/>
      <c r="N145" s="228"/>
      <c r="R145" s="228"/>
      <c r="S145" s="229"/>
    </row>
    <row r="146">
      <c r="L146" s="227"/>
      <c r="N146" s="228"/>
      <c r="R146" s="228"/>
      <c r="S146" s="229"/>
    </row>
    <row r="147">
      <c r="L147" s="227"/>
      <c r="N147" s="228"/>
      <c r="R147" s="228"/>
      <c r="S147" s="229"/>
    </row>
    <row r="148">
      <c r="L148" s="227"/>
      <c r="N148" s="228"/>
      <c r="R148" s="228"/>
      <c r="S148" s="229"/>
    </row>
    <row r="149">
      <c r="L149" s="227"/>
      <c r="N149" s="228"/>
      <c r="R149" s="228"/>
      <c r="S149" s="229"/>
    </row>
    <row r="150">
      <c r="L150" s="227"/>
      <c r="N150" s="228"/>
      <c r="R150" s="228"/>
      <c r="S150" s="229"/>
    </row>
    <row r="151">
      <c r="L151" s="227"/>
      <c r="N151" s="228"/>
      <c r="R151" s="228"/>
      <c r="S151" s="229"/>
    </row>
    <row r="152">
      <c r="L152" s="227"/>
      <c r="N152" s="228"/>
      <c r="R152" s="228"/>
      <c r="S152" s="229"/>
    </row>
    <row r="153">
      <c r="L153" s="227"/>
      <c r="N153" s="228"/>
      <c r="R153" s="228"/>
      <c r="S153" s="229"/>
    </row>
    <row r="154">
      <c r="L154" s="227"/>
      <c r="N154" s="228"/>
      <c r="R154" s="228"/>
      <c r="S154" s="229"/>
    </row>
    <row r="155">
      <c r="L155" s="227"/>
      <c r="N155" s="228"/>
      <c r="R155" s="228"/>
      <c r="S155" s="229"/>
    </row>
    <row r="156">
      <c r="L156" s="227"/>
      <c r="N156" s="228"/>
      <c r="R156" s="228"/>
      <c r="S156" s="229"/>
    </row>
    <row r="157">
      <c r="L157" s="227"/>
      <c r="N157" s="228"/>
      <c r="R157" s="228"/>
      <c r="S157" s="229"/>
    </row>
    <row r="158">
      <c r="L158" s="227"/>
      <c r="N158" s="228"/>
      <c r="R158" s="228"/>
      <c r="S158" s="229"/>
    </row>
    <row r="159">
      <c r="L159" s="227"/>
      <c r="N159" s="228"/>
      <c r="R159" s="228"/>
      <c r="S159" s="229"/>
    </row>
    <row r="160">
      <c r="L160" s="227"/>
      <c r="N160" s="228"/>
      <c r="R160" s="228"/>
      <c r="S160" s="229"/>
    </row>
    <row r="161">
      <c r="L161" s="227"/>
      <c r="N161" s="228"/>
      <c r="R161" s="228"/>
      <c r="S161" s="229"/>
    </row>
    <row r="162">
      <c r="L162" s="227"/>
      <c r="N162" s="228"/>
      <c r="R162" s="228"/>
      <c r="S162" s="229"/>
    </row>
    <row r="163">
      <c r="L163" s="227"/>
      <c r="N163" s="228"/>
      <c r="R163" s="228"/>
      <c r="S163" s="229"/>
    </row>
    <row r="164">
      <c r="L164" s="227"/>
      <c r="N164" s="228"/>
      <c r="R164" s="228"/>
      <c r="S164" s="229"/>
    </row>
    <row r="165">
      <c r="L165" s="227"/>
      <c r="N165" s="228"/>
      <c r="R165" s="228"/>
      <c r="S165" s="229"/>
    </row>
    <row r="166">
      <c r="L166" s="227"/>
      <c r="N166" s="228"/>
      <c r="R166" s="228"/>
      <c r="S166" s="229"/>
    </row>
    <row r="167">
      <c r="L167" s="227"/>
      <c r="N167" s="228"/>
      <c r="R167" s="228"/>
      <c r="S167" s="229"/>
    </row>
    <row r="168">
      <c r="L168" s="227"/>
      <c r="N168" s="228"/>
      <c r="R168" s="228"/>
      <c r="S168" s="229"/>
    </row>
    <row r="169">
      <c r="L169" s="227"/>
      <c r="N169" s="228"/>
      <c r="R169" s="228"/>
      <c r="S169" s="229"/>
    </row>
    <row r="170">
      <c r="L170" s="227"/>
      <c r="N170" s="228"/>
      <c r="R170" s="228"/>
      <c r="S170" s="229"/>
    </row>
    <row r="171">
      <c r="L171" s="227"/>
      <c r="N171" s="228"/>
      <c r="R171" s="228"/>
      <c r="S171" s="229"/>
    </row>
    <row r="172">
      <c r="L172" s="227"/>
      <c r="N172" s="228"/>
      <c r="R172" s="228"/>
      <c r="S172" s="229"/>
    </row>
    <row r="173">
      <c r="L173" s="227"/>
      <c r="N173" s="228"/>
      <c r="R173" s="228"/>
      <c r="S173" s="229"/>
    </row>
    <row r="174">
      <c r="L174" s="227"/>
      <c r="N174" s="228"/>
      <c r="R174" s="228"/>
      <c r="S174" s="229"/>
    </row>
    <row r="175">
      <c r="L175" s="227"/>
      <c r="N175" s="228"/>
      <c r="R175" s="228"/>
      <c r="S175" s="229"/>
    </row>
    <row r="176">
      <c r="L176" s="227"/>
      <c r="N176" s="228"/>
      <c r="R176" s="228"/>
      <c r="S176" s="229"/>
    </row>
    <row r="177">
      <c r="L177" s="227"/>
      <c r="N177" s="228"/>
      <c r="R177" s="228"/>
      <c r="S177" s="229"/>
    </row>
    <row r="178">
      <c r="L178" s="227"/>
      <c r="N178" s="228"/>
      <c r="R178" s="228"/>
      <c r="S178" s="229"/>
    </row>
    <row r="179">
      <c r="L179" s="227"/>
      <c r="N179" s="228"/>
      <c r="R179" s="228"/>
      <c r="S179" s="229"/>
    </row>
    <row r="180">
      <c r="L180" s="227"/>
      <c r="N180" s="228"/>
      <c r="R180" s="228"/>
      <c r="S180" s="229"/>
    </row>
    <row r="181">
      <c r="L181" s="227"/>
      <c r="N181" s="228"/>
      <c r="R181" s="228"/>
      <c r="S181" s="229"/>
    </row>
    <row r="182">
      <c r="L182" s="227"/>
      <c r="N182" s="228"/>
      <c r="R182" s="228"/>
      <c r="S182" s="229"/>
    </row>
    <row r="183">
      <c r="L183" s="227"/>
      <c r="N183" s="228"/>
      <c r="R183" s="228"/>
      <c r="S183" s="229"/>
    </row>
    <row r="184">
      <c r="L184" s="227"/>
      <c r="N184" s="228"/>
      <c r="R184" s="228"/>
      <c r="S184" s="229"/>
    </row>
    <row r="185">
      <c r="L185" s="227"/>
      <c r="N185" s="228"/>
      <c r="R185" s="228"/>
      <c r="S185" s="229"/>
    </row>
    <row r="186">
      <c r="L186" s="227"/>
      <c r="N186" s="228"/>
      <c r="R186" s="228"/>
      <c r="S186" s="229"/>
    </row>
    <row r="187">
      <c r="L187" s="227"/>
      <c r="N187" s="228"/>
      <c r="R187" s="228"/>
      <c r="S187" s="229"/>
    </row>
    <row r="188">
      <c r="L188" s="227"/>
      <c r="N188" s="228"/>
      <c r="R188" s="228"/>
      <c r="S188" s="229"/>
    </row>
    <row r="189">
      <c r="L189" s="227"/>
      <c r="N189" s="228"/>
      <c r="R189" s="228"/>
      <c r="S189" s="229"/>
    </row>
    <row r="190">
      <c r="L190" s="227"/>
      <c r="N190" s="228"/>
      <c r="R190" s="228"/>
      <c r="S190" s="229"/>
    </row>
    <row r="191">
      <c r="L191" s="227"/>
      <c r="N191" s="228"/>
      <c r="R191" s="228"/>
      <c r="S191" s="229"/>
    </row>
    <row r="192">
      <c r="L192" s="227"/>
      <c r="N192" s="228"/>
      <c r="R192" s="228"/>
      <c r="S192" s="229"/>
    </row>
    <row r="193">
      <c r="L193" s="227"/>
      <c r="N193" s="228"/>
      <c r="R193" s="228"/>
      <c r="S193" s="229"/>
    </row>
    <row r="194">
      <c r="L194" s="227"/>
      <c r="N194" s="228"/>
      <c r="R194" s="228"/>
      <c r="S194" s="229"/>
    </row>
    <row r="195">
      <c r="L195" s="227"/>
      <c r="N195" s="228"/>
      <c r="R195" s="228"/>
      <c r="S195" s="229"/>
    </row>
    <row r="196">
      <c r="L196" s="227"/>
      <c r="N196" s="228"/>
      <c r="R196" s="228"/>
      <c r="S196" s="229"/>
    </row>
    <row r="197">
      <c r="L197" s="227"/>
      <c r="N197" s="228"/>
      <c r="R197" s="228"/>
      <c r="S197" s="229"/>
    </row>
    <row r="198">
      <c r="L198" s="227"/>
      <c r="N198" s="228"/>
      <c r="R198" s="228"/>
      <c r="S198" s="229"/>
    </row>
    <row r="199">
      <c r="L199" s="227"/>
      <c r="N199" s="228"/>
      <c r="R199" s="228"/>
      <c r="S199" s="229"/>
    </row>
    <row r="200">
      <c r="L200" s="227"/>
      <c r="N200" s="228"/>
      <c r="R200" s="228"/>
      <c r="S200" s="229"/>
    </row>
    <row r="201">
      <c r="L201" s="227"/>
      <c r="N201" s="228"/>
      <c r="R201" s="228"/>
      <c r="S201" s="229"/>
    </row>
    <row r="202">
      <c r="L202" s="227"/>
      <c r="N202" s="228"/>
      <c r="R202" s="228"/>
      <c r="S202" s="229"/>
    </row>
    <row r="203">
      <c r="L203" s="227"/>
      <c r="N203" s="228"/>
      <c r="R203" s="228"/>
      <c r="S203" s="229"/>
    </row>
    <row r="204">
      <c r="L204" s="227"/>
      <c r="N204" s="228"/>
      <c r="R204" s="228"/>
      <c r="S204" s="229"/>
    </row>
    <row r="205">
      <c r="L205" s="227"/>
      <c r="N205" s="228"/>
      <c r="R205" s="228"/>
      <c r="S205" s="229"/>
    </row>
    <row r="206">
      <c r="L206" s="227"/>
      <c r="N206" s="228"/>
      <c r="R206" s="228"/>
      <c r="S206" s="229"/>
    </row>
    <row r="207">
      <c r="L207" s="227"/>
      <c r="N207" s="228"/>
      <c r="R207" s="228"/>
      <c r="S207" s="229"/>
    </row>
    <row r="208">
      <c r="L208" s="227"/>
      <c r="N208" s="228"/>
      <c r="R208" s="228"/>
      <c r="S208" s="229"/>
    </row>
    <row r="209">
      <c r="L209" s="227"/>
      <c r="N209" s="228"/>
      <c r="R209" s="228"/>
      <c r="S209" s="229"/>
    </row>
    <row r="210">
      <c r="L210" s="227"/>
      <c r="N210" s="228"/>
      <c r="R210" s="228"/>
      <c r="S210" s="229"/>
    </row>
    <row r="211">
      <c r="L211" s="227"/>
      <c r="N211" s="228"/>
      <c r="R211" s="228"/>
      <c r="S211" s="229"/>
    </row>
    <row r="212">
      <c r="L212" s="227"/>
      <c r="N212" s="228"/>
      <c r="R212" s="228"/>
      <c r="S212" s="229"/>
    </row>
    <row r="213">
      <c r="L213" s="227"/>
      <c r="N213" s="228"/>
      <c r="R213" s="228"/>
      <c r="S213" s="229"/>
    </row>
    <row r="214">
      <c r="L214" s="227"/>
      <c r="N214" s="228"/>
      <c r="R214" s="228"/>
      <c r="S214" s="229"/>
    </row>
    <row r="215">
      <c r="L215" s="227"/>
      <c r="N215" s="228"/>
      <c r="R215" s="228"/>
      <c r="S215" s="229"/>
    </row>
    <row r="216">
      <c r="L216" s="227"/>
      <c r="N216" s="228"/>
      <c r="R216" s="228"/>
      <c r="S216" s="229"/>
    </row>
    <row r="217">
      <c r="L217" s="227"/>
      <c r="N217" s="228"/>
      <c r="R217" s="228"/>
      <c r="S217" s="229"/>
    </row>
    <row r="218">
      <c r="L218" s="227"/>
      <c r="N218" s="228"/>
      <c r="R218" s="228"/>
      <c r="S218" s="229"/>
    </row>
    <row r="219">
      <c r="L219" s="227"/>
      <c r="N219" s="228"/>
      <c r="R219" s="228"/>
      <c r="S219" s="229"/>
    </row>
    <row r="220">
      <c r="L220" s="227"/>
      <c r="N220" s="228"/>
      <c r="R220" s="228"/>
      <c r="S220" s="229"/>
    </row>
    <row r="221">
      <c r="L221" s="227"/>
      <c r="N221" s="228"/>
      <c r="R221" s="228"/>
      <c r="S221" s="229"/>
    </row>
    <row r="222">
      <c r="L222" s="227"/>
      <c r="N222" s="228"/>
      <c r="R222" s="228"/>
      <c r="S222" s="229"/>
    </row>
    <row r="223">
      <c r="L223" s="227"/>
      <c r="N223" s="228"/>
      <c r="R223" s="228"/>
      <c r="S223" s="229"/>
    </row>
    <row r="224">
      <c r="L224" s="227"/>
      <c r="N224" s="228"/>
      <c r="R224" s="228"/>
      <c r="S224" s="229"/>
    </row>
    <row r="225">
      <c r="L225" s="227"/>
      <c r="N225" s="228"/>
      <c r="R225" s="228"/>
      <c r="S225" s="229"/>
    </row>
    <row r="226">
      <c r="L226" s="227"/>
      <c r="N226" s="228"/>
      <c r="R226" s="228"/>
      <c r="S226" s="229"/>
    </row>
    <row r="227">
      <c r="L227" s="227"/>
      <c r="N227" s="228"/>
      <c r="R227" s="228"/>
      <c r="S227" s="229"/>
    </row>
    <row r="228">
      <c r="L228" s="227"/>
      <c r="N228" s="228"/>
      <c r="R228" s="228"/>
      <c r="S228" s="229"/>
    </row>
    <row r="229">
      <c r="L229" s="227"/>
      <c r="N229" s="228"/>
      <c r="R229" s="228"/>
      <c r="S229" s="229"/>
    </row>
    <row r="230">
      <c r="L230" s="227"/>
      <c r="N230" s="228"/>
      <c r="R230" s="228"/>
      <c r="S230" s="229"/>
    </row>
    <row r="231">
      <c r="L231" s="227"/>
      <c r="N231" s="228"/>
      <c r="R231" s="228"/>
      <c r="S231" s="229"/>
    </row>
    <row r="232">
      <c r="L232" s="227"/>
      <c r="N232" s="228"/>
      <c r="R232" s="228"/>
      <c r="S232" s="229"/>
    </row>
    <row r="233">
      <c r="L233" s="227"/>
      <c r="N233" s="228"/>
      <c r="R233" s="228"/>
      <c r="S233" s="229"/>
    </row>
    <row r="234">
      <c r="L234" s="227"/>
      <c r="N234" s="228"/>
      <c r="R234" s="228"/>
      <c r="S234" s="229"/>
    </row>
    <row r="235">
      <c r="L235" s="227"/>
      <c r="N235" s="228"/>
      <c r="R235" s="228"/>
      <c r="S235" s="229"/>
    </row>
    <row r="236">
      <c r="L236" s="227"/>
      <c r="N236" s="228"/>
      <c r="R236" s="228"/>
      <c r="S236" s="229"/>
    </row>
    <row r="237">
      <c r="L237" s="227"/>
      <c r="N237" s="228"/>
      <c r="R237" s="228"/>
      <c r="S237" s="229"/>
    </row>
    <row r="238">
      <c r="L238" s="227"/>
      <c r="N238" s="228"/>
      <c r="R238" s="228"/>
      <c r="S238" s="229"/>
    </row>
    <row r="239">
      <c r="L239" s="227"/>
      <c r="N239" s="228"/>
      <c r="R239" s="228"/>
      <c r="S239" s="229"/>
    </row>
    <row r="240">
      <c r="L240" s="227"/>
      <c r="N240" s="228"/>
      <c r="R240" s="228"/>
      <c r="S240" s="229"/>
    </row>
    <row r="241">
      <c r="L241" s="227"/>
      <c r="N241" s="228"/>
      <c r="R241" s="228"/>
      <c r="S241" s="229"/>
    </row>
    <row r="242">
      <c r="L242" s="227"/>
      <c r="N242" s="228"/>
      <c r="R242" s="228"/>
      <c r="S242" s="229"/>
    </row>
    <row r="243">
      <c r="L243" s="227"/>
      <c r="N243" s="228"/>
      <c r="R243" s="228"/>
      <c r="S243" s="229"/>
    </row>
    <row r="244">
      <c r="L244" s="227"/>
      <c r="N244" s="228"/>
      <c r="R244" s="228"/>
      <c r="S244" s="229"/>
    </row>
    <row r="245">
      <c r="L245" s="227"/>
      <c r="N245" s="228"/>
      <c r="R245" s="228"/>
      <c r="S245" s="229"/>
    </row>
    <row r="246">
      <c r="L246" s="227"/>
      <c r="N246" s="228"/>
      <c r="R246" s="228"/>
      <c r="S246" s="229"/>
    </row>
    <row r="247">
      <c r="L247" s="227"/>
      <c r="N247" s="228"/>
      <c r="R247" s="228"/>
      <c r="S247" s="229"/>
    </row>
    <row r="248">
      <c r="L248" s="227"/>
      <c r="N248" s="228"/>
      <c r="R248" s="228"/>
      <c r="S248" s="229"/>
    </row>
    <row r="249">
      <c r="L249" s="227"/>
      <c r="N249" s="228"/>
      <c r="R249" s="228"/>
      <c r="S249" s="229"/>
    </row>
    <row r="250">
      <c r="L250" s="227"/>
      <c r="N250" s="228"/>
      <c r="R250" s="228"/>
      <c r="S250" s="229"/>
    </row>
    <row r="251">
      <c r="L251" s="227"/>
      <c r="N251" s="228"/>
      <c r="R251" s="228"/>
      <c r="S251" s="229"/>
    </row>
    <row r="252">
      <c r="L252" s="227"/>
      <c r="N252" s="228"/>
      <c r="R252" s="228"/>
      <c r="S252" s="229"/>
    </row>
    <row r="253">
      <c r="L253" s="227"/>
      <c r="N253" s="228"/>
      <c r="R253" s="228"/>
      <c r="S253" s="229"/>
    </row>
    <row r="254">
      <c r="L254" s="227"/>
      <c r="N254" s="228"/>
      <c r="R254" s="228"/>
      <c r="S254" s="229"/>
    </row>
    <row r="255">
      <c r="L255" s="227"/>
      <c r="N255" s="228"/>
      <c r="R255" s="228"/>
      <c r="S255" s="229"/>
    </row>
    <row r="256">
      <c r="L256" s="227"/>
      <c r="N256" s="228"/>
      <c r="R256" s="228"/>
      <c r="S256" s="229"/>
    </row>
    <row r="257">
      <c r="L257" s="227"/>
      <c r="N257" s="228"/>
      <c r="R257" s="228"/>
      <c r="S257" s="229"/>
    </row>
    <row r="258">
      <c r="L258" s="227"/>
      <c r="N258" s="228"/>
      <c r="R258" s="228"/>
      <c r="S258" s="229"/>
    </row>
    <row r="259">
      <c r="L259" s="227"/>
      <c r="N259" s="228"/>
      <c r="R259" s="228"/>
      <c r="S259" s="229"/>
    </row>
    <row r="260">
      <c r="L260" s="227"/>
      <c r="N260" s="228"/>
      <c r="R260" s="228"/>
      <c r="S260" s="229"/>
    </row>
    <row r="261">
      <c r="L261" s="227"/>
      <c r="N261" s="228"/>
      <c r="R261" s="228"/>
      <c r="S261" s="229"/>
    </row>
    <row r="262">
      <c r="L262" s="227"/>
      <c r="N262" s="228"/>
      <c r="R262" s="228"/>
      <c r="S262" s="229"/>
    </row>
    <row r="263">
      <c r="L263" s="227"/>
      <c r="N263" s="228"/>
      <c r="R263" s="228"/>
      <c r="S263" s="229"/>
    </row>
    <row r="264">
      <c r="L264" s="227"/>
      <c r="N264" s="228"/>
      <c r="R264" s="228"/>
      <c r="S264" s="229"/>
    </row>
    <row r="265">
      <c r="L265" s="227"/>
      <c r="N265" s="228"/>
      <c r="R265" s="228"/>
      <c r="S265" s="229"/>
    </row>
    <row r="266">
      <c r="L266" s="227"/>
      <c r="N266" s="228"/>
      <c r="R266" s="228"/>
      <c r="S266" s="229"/>
    </row>
    <row r="267">
      <c r="L267" s="227"/>
      <c r="N267" s="228"/>
      <c r="R267" s="228"/>
      <c r="S267" s="229"/>
    </row>
    <row r="268">
      <c r="L268" s="227"/>
      <c r="N268" s="228"/>
      <c r="R268" s="228"/>
      <c r="S268" s="229"/>
    </row>
    <row r="269">
      <c r="L269" s="227"/>
      <c r="N269" s="228"/>
      <c r="R269" s="228"/>
      <c r="S269" s="229"/>
    </row>
    <row r="270">
      <c r="L270" s="227"/>
      <c r="N270" s="228"/>
      <c r="R270" s="228"/>
      <c r="S270" s="229"/>
    </row>
    <row r="271">
      <c r="L271" s="227"/>
      <c r="N271" s="228"/>
      <c r="R271" s="228"/>
      <c r="S271" s="229"/>
    </row>
    <row r="272">
      <c r="L272" s="227"/>
      <c r="N272" s="228"/>
      <c r="R272" s="228"/>
      <c r="S272" s="229"/>
    </row>
    <row r="273">
      <c r="L273" s="227"/>
      <c r="N273" s="228"/>
      <c r="R273" s="228"/>
      <c r="S273" s="229"/>
    </row>
    <row r="274">
      <c r="L274" s="227"/>
      <c r="N274" s="228"/>
      <c r="R274" s="228"/>
      <c r="S274" s="229"/>
    </row>
    <row r="275">
      <c r="L275" s="227"/>
      <c r="N275" s="228"/>
      <c r="R275" s="228"/>
      <c r="S275" s="229"/>
    </row>
    <row r="276">
      <c r="L276" s="227"/>
      <c r="N276" s="228"/>
      <c r="R276" s="228"/>
      <c r="S276" s="229"/>
    </row>
    <row r="277">
      <c r="L277" s="227"/>
      <c r="N277" s="228"/>
      <c r="R277" s="228"/>
      <c r="S277" s="229"/>
    </row>
    <row r="278">
      <c r="L278" s="227"/>
      <c r="N278" s="228"/>
      <c r="R278" s="228"/>
      <c r="S278" s="229"/>
    </row>
    <row r="279">
      <c r="L279" s="227"/>
      <c r="N279" s="228"/>
      <c r="R279" s="228"/>
      <c r="S279" s="229"/>
    </row>
    <row r="280">
      <c r="L280" s="227"/>
      <c r="N280" s="228"/>
      <c r="R280" s="228"/>
      <c r="S280" s="229"/>
    </row>
    <row r="281">
      <c r="L281" s="227"/>
      <c r="N281" s="228"/>
      <c r="R281" s="228"/>
      <c r="S281" s="229"/>
    </row>
    <row r="282">
      <c r="L282" s="227"/>
      <c r="N282" s="228"/>
      <c r="R282" s="228"/>
      <c r="S282" s="229"/>
    </row>
    <row r="283">
      <c r="L283" s="227"/>
      <c r="N283" s="228"/>
      <c r="R283" s="228"/>
      <c r="S283" s="229"/>
    </row>
    <row r="284">
      <c r="L284" s="227"/>
      <c r="N284" s="228"/>
      <c r="R284" s="228"/>
      <c r="S284" s="229"/>
    </row>
    <row r="285">
      <c r="L285" s="227"/>
      <c r="N285" s="228"/>
      <c r="R285" s="228"/>
      <c r="S285" s="229"/>
    </row>
    <row r="286">
      <c r="L286" s="227"/>
      <c r="N286" s="228"/>
      <c r="R286" s="228"/>
      <c r="S286" s="229"/>
    </row>
    <row r="287">
      <c r="L287" s="227"/>
      <c r="N287" s="228"/>
      <c r="R287" s="228"/>
      <c r="S287" s="229"/>
    </row>
    <row r="288">
      <c r="L288" s="227"/>
      <c r="N288" s="228"/>
      <c r="R288" s="228"/>
      <c r="S288" s="229"/>
    </row>
    <row r="289">
      <c r="L289" s="227"/>
      <c r="N289" s="228"/>
      <c r="R289" s="228"/>
      <c r="S289" s="229"/>
    </row>
    <row r="290">
      <c r="L290" s="227"/>
      <c r="N290" s="228"/>
      <c r="R290" s="228"/>
      <c r="S290" s="229"/>
    </row>
    <row r="291">
      <c r="L291" s="227"/>
      <c r="N291" s="228"/>
      <c r="R291" s="228"/>
      <c r="S291" s="229"/>
    </row>
    <row r="292">
      <c r="L292" s="227"/>
      <c r="N292" s="228"/>
      <c r="R292" s="228"/>
      <c r="S292" s="229"/>
    </row>
    <row r="293">
      <c r="L293" s="227"/>
      <c r="N293" s="228"/>
      <c r="R293" s="228"/>
      <c r="S293" s="229"/>
    </row>
    <row r="294">
      <c r="L294" s="227"/>
      <c r="N294" s="228"/>
      <c r="R294" s="228"/>
      <c r="S294" s="229"/>
    </row>
    <row r="295">
      <c r="L295" s="227"/>
      <c r="N295" s="228"/>
      <c r="R295" s="228"/>
      <c r="S295" s="229"/>
    </row>
    <row r="296">
      <c r="L296" s="227"/>
      <c r="N296" s="228"/>
      <c r="R296" s="228"/>
      <c r="S296" s="229"/>
    </row>
    <row r="297">
      <c r="L297" s="227"/>
      <c r="N297" s="228"/>
      <c r="R297" s="228"/>
      <c r="S297" s="229"/>
    </row>
    <row r="298">
      <c r="L298" s="227"/>
      <c r="N298" s="228"/>
      <c r="R298" s="228"/>
      <c r="S298" s="229"/>
    </row>
    <row r="299">
      <c r="L299" s="227"/>
      <c r="N299" s="228"/>
      <c r="R299" s="228"/>
      <c r="S299" s="229"/>
    </row>
    <row r="300">
      <c r="L300" s="227"/>
      <c r="N300" s="228"/>
      <c r="R300" s="228"/>
      <c r="S300" s="229"/>
    </row>
    <row r="301">
      <c r="L301" s="227"/>
      <c r="N301" s="228"/>
      <c r="R301" s="228"/>
      <c r="S301" s="229"/>
    </row>
    <row r="302">
      <c r="L302" s="227"/>
      <c r="N302" s="228"/>
      <c r="R302" s="228"/>
      <c r="S302" s="229"/>
    </row>
    <row r="303">
      <c r="L303" s="227"/>
      <c r="N303" s="228"/>
      <c r="R303" s="228"/>
      <c r="S303" s="229"/>
    </row>
    <row r="304">
      <c r="L304" s="227"/>
      <c r="N304" s="228"/>
      <c r="R304" s="228"/>
      <c r="S304" s="229"/>
    </row>
    <row r="305">
      <c r="L305" s="227"/>
      <c r="N305" s="228"/>
      <c r="R305" s="228"/>
      <c r="S305" s="229"/>
    </row>
    <row r="306">
      <c r="L306" s="227"/>
      <c r="N306" s="228"/>
      <c r="R306" s="228"/>
      <c r="S306" s="229"/>
    </row>
    <row r="307">
      <c r="L307" s="227"/>
      <c r="N307" s="228"/>
      <c r="R307" s="228"/>
      <c r="S307" s="229"/>
    </row>
    <row r="308">
      <c r="L308" s="227"/>
      <c r="N308" s="228"/>
      <c r="R308" s="228"/>
      <c r="S308" s="229"/>
    </row>
    <row r="309">
      <c r="L309" s="227"/>
      <c r="N309" s="228"/>
      <c r="R309" s="228"/>
      <c r="S309" s="229"/>
    </row>
    <row r="310">
      <c r="L310" s="227"/>
      <c r="N310" s="228"/>
      <c r="R310" s="228"/>
      <c r="S310" s="229"/>
    </row>
    <row r="311">
      <c r="L311" s="227"/>
      <c r="N311" s="228"/>
      <c r="R311" s="228"/>
      <c r="S311" s="229"/>
    </row>
    <row r="312">
      <c r="L312" s="227"/>
      <c r="N312" s="228"/>
      <c r="R312" s="228"/>
      <c r="S312" s="229"/>
    </row>
    <row r="313">
      <c r="L313" s="227"/>
      <c r="N313" s="228"/>
      <c r="R313" s="228"/>
      <c r="S313" s="229"/>
    </row>
    <row r="314">
      <c r="L314" s="227"/>
      <c r="N314" s="228"/>
      <c r="R314" s="228"/>
      <c r="S314" s="229"/>
    </row>
    <row r="315">
      <c r="L315" s="227"/>
      <c r="N315" s="228"/>
      <c r="R315" s="228"/>
      <c r="S315" s="229"/>
    </row>
    <row r="316">
      <c r="L316" s="227"/>
      <c r="N316" s="228"/>
      <c r="R316" s="228"/>
      <c r="S316" s="229"/>
    </row>
    <row r="317">
      <c r="L317" s="227"/>
      <c r="N317" s="228"/>
      <c r="R317" s="228"/>
      <c r="S317" s="229"/>
    </row>
    <row r="318">
      <c r="L318" s="227"/>
      <c r="N318" s="228"/>
      <c r="R318" s="228"/>
      <c r="S318" s="229"/>
    </row>
    <row r="319">
      <c r="L319" s="227"/>
      <c r="N319" s="228"/>
      <c r="R319" s="228"/>
      <c r="S319" s="229"/>
    </row>
    <row r="320">
      <c r="L320" s="227"/>
      <c r="N320" s="228"/>
      <c r="R320" s="228"/>
      <c r="S320" s="229"/>
    </row>
    <row r="321">
      <c r="L321" s="227"/>
      <c r="N321" s="228"/>
      <c r="R321" s="228"/>
      <c r="S321" s="229"/>
    </row>
    <row r="322">
      <c r="L322" s="227"/>
      <c r="N322" s="228"/>
      <c r="R322" s="228"/>
      <c r="S322" s="229"/>
    </row>
    <row r="323">
      <c r="L323" s="227"/>
      <c r="N323" s="228"/>
      <c r="R323" s="228"/>
      <c r="S323" s="229"/>
    </row>
    <row r="324">
      <c r="L324" s="227"/>
      <c r="N324" s="228"/>
      <c r="R324" s="228"/>
      <c r="S324" s="229"/>
    </row>
    <row r="325">
      <c r="L325" s="227"/>
      <c r="N325" s="228"/>
      <c r="R325" s="228"/>
      <c r="S325" s="229"/>
    </row>
    <row r="326">
      <c r="L326" s="227"/>
      <c r="N326" s="228"/>
      <c r="R326" s="228"/>
      <c r="S326" s="229"/>
    </row>
    <row r="327">
      <c r="L327" s="227"/>
      <c r="N327" s="228"/>
      <c r="R327" s="228"/>
      <c r="S327" s="229"/>
    </row>
    <row r="328">
      <c r="L328" s="227"/>
      <c r="N328" s="228"/>
      <c r="R328" s="228"/>
      <c r="S328" s="229"/>
    </row>
    <row r="329">
      <c r="L329" s="227"/>
      <c r="N329" s="228"/>
      <c r="R329" s="228"/>
      <c r="S329" s="229"/>
    </row>
    <row r="330">
      <c r="L330" s="227"/>
      <c r="N330" s="228"/>
      <c r="R330" s="228"/>
      <c r="S330" s="229"/>
    </row>
    <row r="331">
      <c r="L331" s="227"/>
      <c r="N331" s="228"/>
      <c r="R331" s="228"/>
      <c r="S331" s="229"/>
    </row>
    <row r="332">
      <c r="L332" s="227"/>
      <c r="N332" s="228"/>
      <c r="R332" s="228"/>
      <c r="S332" s="229"/>
    </row>
    <row r="333">
      <c r="L333" s="227"/>
      <c r="N333" s="228"/>
      <c r="R333" s="228"/>
      <c r="S333" s="229"/>
    </row>
    <row r="334">
      <c r="L334" s="227"/>
      <c r="N334" s="228"/>
      <c r="R334" s="228"/>
      <c r="S334" s="229"/>
    </row>
    <row r="335">
      <c r="L335" s="227"/>
      <c r="N335" s="228"/>
      <c r="R335" s="228"/>
      <c r="S335" s="229"/>
    </row>
    <row r="336">
      <c r="L336" s="227"/>
      <c r="N336" s="228"/>
      <c r="R336" s="228"/>
      <c r="S336" s="229"/>
    </row>
    <row r="337">
      <c r="L337" s="227"/>
      <c r="N337" s="228"/>
      <c r="R337" s="228"/>
      <c r="S337" s="229"/>
    </row>
    <row r="338">
      <c r="L338" s="227"/>
      <c r="N338" s="228"/>
      <c r="R338" s="228"/>
      <c r="S338" s="229"/>
    </row>
    <row r="339">
      <c r="L339" s="227"/>
      <c r="N339" s="228"/>
      <c r="R339" s="228"/>
      <c r="S339" s="229"/>
    </row>
    <row r="340">
      <c r="L340" s="227"/>
      <c r="N340" s="228"/>
      <c r="R340" s="228"/>
      <c r="S340" s="229"/>
    </row>
    <row r="341">
      <c r="L341" s="227"/>
      <c r="N341" s="228"/>
      <c r="R341" s="228"/>
      <c r="S341" s="229"/>
    </row>
    <row r="342">
      <c r="L342" s="227"/>
      <c r="N342" s="228"/>
      <c r="R342" s="228"/>
      <c r="S342" s="229"/>
    </row>
    <row r="343">
      <c r="L343" s="227"/>
      <c r="N343" s="228"/>
      <c r="R343" s="228"/>
      <c r="S343" s="229"/>
    </row>
    <row r="344">
      <c r="L344" s="227"/>
      <c r="N344" s="228"/>
      <c r="R344" s="228"/>
      <c r="S344" s="229"/>
    </row>
    <row r="345">
      <c r="L345" s="227"/>
      <c r="N345" s="228"/>
      <c r="R345" s="228"/>
      <c r="S345" s="229"/>
    </row>
    <row r="346">
      <c r="L346" s="227"/>
      <c r="N346" s="228"/>
      <c r="R346" s="228"/>
      <c r="S346" s="229"/>
    </row>
    <row r="347">
      <c r="L347" s="227"/>
      <c r="N347" s="228"/>
      <c r="R347" s="228"/>
      <c r="S347" s="229"/>
    </row>
    <row r="348">
      <c r="L348" s="227"/>
      <c r="N348" s="228"/>
      <c r="R348" s="228"/>
      <c r="S348" s="229"/>
    </row>
    <row r="349">
      <c r="L349" s="227"/>
      <c r="N349" s="228"/>
      <c r="R349" s="228"/>
      <c r="S349" s="229"/>
    </row>
    <row r="350">
      <c r="L350" s="227"/>
      <c r="N350" s="228"/>
      <c r="R350" s="228"/>
      <c r="S350" s="229"/>
    </row>
    <row r="351">
      <c r="L351" s="227"/>
      <c r="N351" s="228"/>
      <c r="R351" s="228"/>
      <c r="S351" s="229"/>
    </row>
    <row r="352">
      <c r="L352" s="227"/>
      <c r="N352" s="228"/>
      <c r="R352" s="228"/>
      <c r="S352" s="229"/>
    </row>
    <row r="353">
      <c r="L353" s="227"/>
      <c r="N353" s="228"/>
      <c r="R353" s="228"/>
      <c r="S353" s="229"/>
    </row>
    <row r="354">
      <c r="L354" s="227"/>
      <c r="N354" s="228"/>
      <c r="R354" s="228"/>
      <c r="S354" s="229"/>
    </row>
    <row r="355">
      <c r="L355" s="227"/>
      <c r="N355" s="228"/>
      <c r="R355" s="228"/>
      <c r="S355" s="229"/>
    </row>
    <row r="356">
      <c r="L356" s="227"/>
      <c r="N356" s="228"/>
      <c r="R356" s="228"/>
      <c r="S356" s="229"/>
    </row>
    <row r="357">
      <c r="L357" s="227"/>
      <c r="N357" s="228"/>
      <c r="R357" s="228"/>
      <c r="S357" s="229"/>
    </row>
    <row r="358">
      <c r="L358" s="227"/>
      <c r="N358" s="228"/>
      <c r="R358" s="228"/>
      <c r="S358" s="229"/>
    </row>
    <row r="359">
      <c r="L359" s="227"/>
      <c r="N359" s="228"/>
      <c r="R359" s="228"/>
      <c r="S359" s="229"/>
    </row>
    <row r="360">
      <c r="L360" s="227"/>
      <c r="N360" s="228"/>
      <c r="R360" s="228"/>
      <c r="S360" s="229"/>
    </row>
    <row r="361">
      <c r="L361" s="227"/>
      <c r="N361" s="228"/>
      <c r="R361" s="228"/>
      <c r="S361" s="229"/>
    </row>
    <row r="362">
      <c r="L362" s="227"/>
      <c r="N362" s="228"/>
      <c r="R362" s="228"/>
      <c r="S362" s="229"/>
    </row>
    <row r="363">
      <c r="L363" s="227"/>
      <c r="N363" s="228"/>
      <c r="R363" s="228"/>
      <c r="S363" s="229"/>
    </row>
    <row r="364">
      <c r="L364" s="227"/>
      <c r="N364" s="228"/>
      <c r="R364" s="228"/>
      <c r="S364" s="229"/>
    </row>
    <row r="365">
      <c r="L365" s="227"/>
      <c r="N365" s="228"/>
      <c r="R365" s="228"/>
      <c r="S365" s="229"/>
    </row>
    <row r="366">
      <c r="L366" s="227"/>
      <c r="N366" s="228"/>
      <c r="R366" s="228"/>
      <c r="S366" s="229"/>
    </row>
    <row r="367">
      <c r="L367" s="227"/>
      <c r="N367" s="228"/>
      <c r="R367" s="228"/>
      <c r="S367" s="229"/>
    </row>
    <row r="368">
      <c r="L368" s="227"/>
      <c r="N368" s="228"/>
      <c r="R368" s="228"/>
      <c r="S368" s="229"/>
    </row>
    <row r="369">
      <c r="L369" s="227"/>
      <c r="N369" s="228"/>
      <c r="R369" s="228"/>
      <c r="S369" s="229"/>
    </row>
    <row r="370">
      <c r="L370" s="227"/>
      <c r="N370" s="228"/>
      <c r="R370" s="228"/>
      <c r="S370" s="229"/>
    </row>
    <row r="371">
      <c r="L371" s="227"/>
      <c r="N371" s="228"/>
      <c r="R371" s="228"/>
      <c r="S371" s="229"/>
    </row>
    <row r="372">
      <c r="L372" s="227"/>
      <c r="N372" s="228"/>
      <c r="R372" s="228"/>
      <c r="S372" s="229"/>
    </row>
    <row r="373">
      <c r="L373" s="227"/>
      <c r="N373" s="228"/>
      <c r="R373" s="228"/>
      <c r="S373" s="229"/>
    </row>
    <row r="374">
      <c r="L374" s="227"/>
      <c r="N374" s="228"/>
      <c r="R374" s="228"/>
      <c r="S374" s="229"/>
    </row>
    <row r="375">
      <c r="L375" s="227"/>
      <c r="N375" s="228"/>
      <c r="R375" s="228"/>
      <c r="S375" s="229"/>
    </row>
    <row r="376">
      <c r="L376" s="227"/>
      <c r="N376" s="228"/>
      <c r="R376" s="228"/>
      <c r="S376" s="229"/>
    </row>
    <row r="377">
      <c r="L377" s="227"/>
      <c r="N377" s="228"/>
      <c r="R377" s="228"/>
      <c r="S377" s="229"/>
    </row>
    <row r="378">
      <c r="L378" s="227"/>
      <c r="N378" s="228"/>
      <c r="R378" s="228"/>
      <c r="S378" s="229"/>
    </row>
    <row r="379">
      <c r="L379" s="227"/>
      <c r="N379" s="228"/>
      <c r="R379" s="228"/>
      <c r="S379" s="229"/>
    </row>
    <row r="380">
      <c r="L380" s="227"/>
      <c r="N380" s="228"/>
      <c r="R380" s="228"/>
      <c r="S380" s="229"/>
    </row>
    <row r="381">
      <c r="L381" s="227"/>
      <c r="N381" s="228"/>
      <c r="R381" s="228"/>
      <c r="S381" s="229"/>
    </row>
    <row r="382">
      <c r="L382" s="227"/>
      <c r="N382" s="228"/>
      <c r="R382" s="228"/>
      <c r="S382" s="229"/>
    </row>
    <row r="383">
      <c r="L383" s="227"/>
      <c r="N383" s="228"/>
      <c r="R383" s="228"/>
      <c r="S383" s="229"/>
    </row>
    <row r="384">
      <c r="L384" s="227"/>
      <c r="N384" s="228"/>
      <c r="R384" s="228"/>
      <c r="S384" s="229"/>
    </row>
    <row r="385">
      <c r="L385" s="227"/>
      <c r="N385" s="228"/>
      <c r="R385" s="228"/>
      <c r="S385" s="229"/>
    </row>
    <row r="386">
      <c r="L386" s="227"/>
      <c r="N386" s="228"/>
      <c r="R386" s="228"/>
      <c r="S386" s="229"/>
    </row>
    <row r="387">
      <c r="L387" s="227"/>
      <c r="N387" s="228"/>
      <c r="R387" s="228"/>
      <c r="S387" s="229"/>
    </row>
    <row r="388">
      <c r="L388" s="227"/>
      <c r="N388" s="228"/>
      <c r="R388" s="228"/>
      <c r="S388" s="229"/>
    </row>
    <row r="389">
      <c r="L389" s="227"/>
      <c r="N389" s="228"/>
      <c r="R389" s="228"/>
      <c r="S389" s="229"/>
    </row>
    <row r="390">
      <c r="L390" s="227"/>
      <c r="N390" s="228"/>
      <c r="R390" s="228"/>
      <c r="S390" s="229"/>
    </row>
    <row r="391">
      <c r="L391" s="227"/>
      <c r="N391" s="228"/>
      <c r="R391" s="228"/>
      <c r="S391" s="229"/>
    </row>
    <row r="392">
      <c r="L392" s="227"/>
      <c r="N392" s="228"/>
      <c r="R392" s="228"/>
      <c r="S392" s="229"/>
    </row>
    <row r="393">
      <c r="L393" s="227"/>
      <c r="N393" s="228"/>
      <c r="R393" s="228"/>
      <c r="S393" s="229"/>
    </row>
    <row r="394">
      <c r="L394" s="227"/>
      <c r="N394" s="228"/>
      <c r="R394" s="228"/>
      <c r="S394" s="229"/>
    </row>
    <row r="395">
      <c r="L395" s="227"/>
      <c r="N395" s="228"/>
      <c r="R395" s="228"/>
      <c r="S395" s="229"/>
    </row>
    <row r="396">
      <c r="L396" s="227"/>
      <c r="N396" s="228"/>
      <c r="R396" s="228"/>
      <c r="S396" s="229"/>
    </row>
    <row r="397">
      <c r="L397" s="227"/>
      <c r="N397" s="228"/>
      <c r="R397" s="228"/>
      <c r="S397" s="229"/>
    </row>
    <row r="398">
      <c r="L398" s="227"/>
      <c r="N398" s="228"/>
      <c r="R398" s="228"/>
      <c r="S398" s="229"/>
    </row>
    <row r="399">
      <c r="L399" s="227"/>
      <c r="N399" s="228"/>
      <c r="R399" s="228"/>
      <c r="S399" s="229"/>
    </row>
    <row r="400">
      <c r="L400" s="227"/>
      <c r="N400" s="228"/>
      <c r="R400" s="228"/>
      <c r="S400" s="229"/>
    </row>
    <row r="401">
      <c r="L401" s="227"/>
      <c r="N401" s="228"/>
      <c r="R401" s="228"/>
      <c r="S401" s="229"/>
    </row>
    <row r="402">
      <c r="L402" s="227"/>
      <c r="N402" s="228"/>
      <c r="R402" s="228"/>
      <c r="S402" s="229"/>
    </row>
    <row r="403">
      <c r="L403" s="227"/>
      <c r="N403" s="228"/>
      <c r="R403" s="228"/>
      <c r="S403" s="229"/>
    </row>
    <row r="404">
      <c r="L404" s="227"/>
      <c r="N404" s="228"/>
      <c r="R404" s="228"/>
      <c r="S404" s="229"/>
    </row>
    <row r="405">
      <c r="L405" s="227"/>
      <c r="N405" s="228"/>
      <c r="R405" s="228"/>
      <c r="S405" s="229"/>
    </row>
    <row r="406">
      <c r="L406" s="227"/>
      <c r="N406" s="228"/>
      <c r="R406" s="228"/>
      <c r="S406" s="229"/>
    </row>
    <row r="407">
      <c r="L407" s="227"/>
      <c r="N407" s="228"/>
      <c r="R407" s="228"/>
      <c r="S407" s="229"/>
    </row>
    <row r="408">
      <c r="L408" s="227"/>
      <c r="N408" s="228"/>
      <c r="R408" s="228"/>
      <c r="S408" s="229"/>
    </row>
    <row r="409">
      <c r="L409" s="227"/>
      <c r="N409" s="228"/>
      <c r="R409" s="228"/>
      <c r="S409" s="229"/>
    </row>
    <row r="410">
      <c r="L410" s="227"/>
      <c r="N410" s="228"/>
      <c r="R410" s="228"/>
      <c r="S410" s="229"/>
    </row>
    <row r="411">
      <c r="L411" s="227"/>
      <c r="N411" s="228"/>
      <c r="R411" s="228"/>
      <c r="S411" s="229"/>
    </row>
    <row r="412">
      <c r="L412" s="227"/>
      <c r="N412" s="228"/>
      <c r="R412" s="228"/>
      <c r="S412" s="229"/>
    </row>
    <row r="413">
      <c r="L413" s="227"/>
      <c r="N413" s="228"/>
      <c r="R413" s="228"/>
      <c r="S413" s="229"/>
    </row>
    <row r="414">
      <c r="L414" s="227"/>
      <c r="N414" s="228"/>
      <c r="R414" s="228"/>
      <c r="S414" s="229"/>
    </row>
    <row r="415">
      <c r="L415" s="227"/>
      <c r="N415" s="228"/>
      <c r="R415" s="228"/>
      <c r="S415" s="229"/>
    </row>
    <row r="416">
      <c r="L416" s="227"/>
      <c r="N416" s="228"/>
      <c r="R416" s="228"/>
      <c r="S416" s="229"/>
    </row>
    <row r="417">
      <c r="L417" s="227"/>
      <c r="N417" s="228"/>
      <c r="R417" s="228"/>
      <c r="S417" s="229"/>
    </row>
    <row r="418">
      <c r="L418" s="227"/>
      <c r="N418" s="228"/>
      <c r="R418" s="228"/>
      <c r="S418" s="229"/>
    </row>
    <row r="419">
      <c r="L419" s="227"/>
      <c r="N419" s="228"/>
      <c r="R419" s="228"/>
      <c r="S419" s="229"/>
    </row>
    <row r="420">
      <c r="L420" s="227"/>
      <c r="N420" s="228"/>
      <c r="R420" s="228"/>
      <c r="S420" s="229"/>
    </row>
    <row r="421">
      <c r="L421" s="227"/>
      <c r="N421" s="228"/>
      <c r="R421" s="228"/>
      <c r="S421" s="229"/>
    </row>
    <row r="422">
      <c r="L422" s="227"/>
      <c r="N422" s="228"/>
      <c r="R422" s="228"/>
      <c r="S422" s="229"/>
    </row>
    <row r="423">
      <c r="L423" s="227"/>
      <c r="N423" s="228"/>
      <c r="R423" s="228"/>
      <c r="S423" s="229"/>
    </row>
    <row r="424">
      <c r="L424" s="227"/>
      <c r="N424" s="228"/>
      <c r="R424" s="228"/>
      <c r="S424" s="229"/>
    </row>
    <row r="425">
      <c r="L425" s="227"/>
      <c r="N425" s="228"/>
      <c r="R425" s="228"/>
      <c r="S425" s="229"/>
    </row>
    <row r="426">
      <c r="L426" s="227"/>
      <c r="N426" s="228"/>
      <c r="R426" s="228"/>
      <c r="S426" s="229"/>
    </row>
    <row r="427">
      <c r="L427" s="227"/>
      <c r="N427" s="228"/>
      <c r="R427" s="228"/>
      <c r="S427" s="229"/>
    </row>
    <row r="428">
      <c r="L428" s="227"/>
      <c r="N428" s="228"/>
      <c r="R428" s="228"/>
      <c r="S428" s="229"/>
    </row>
    <row r="429">
      <c r="L429" s="227"/>
      <c r="N429" s="228"/>
      <c r="R429" s="228"/>
      <c r="S429" s="229"/>
    </row>
    <row r="430">
      <c r="L430" s="227"/>
      <c r="N430" s="228"/>
      <c r="R430" s="228"/>
      <c r="S430" s="229"/>
    </row>
    <row r="431">
      <c r="L431" s="227"/>
      <c r="N431" s="228"/>
      <c r="R431" s="228"/>
      <c r="S431" s="229"/>
    </row>
    <row r="432">
      <c r="L432" s="227"/>
      <c r="N432" s="228"/>
      <c r="R432" s="228"/>
      <c r="S432" s="229"/>
    </row>
    <row r="433">
      <c r="L433" s="227"/>
      <c r="N433" s="228"/>
      <c r="R433" s="228"/>
      <c r="S433" s="229"/>
    </row>
    <row r="434">
      <c r="L434" s="227"/>
      <c r="N434" s="228"/>
      <c r="R434" s="228"/>
      <c r="S434" s="229"/>
    </row>
    <row r="435">
      <c r="L435" s="227"/>
      <c r="N435" s="228"/>
      <c r="R435" s="228"/>
      <c r="S435" s="229"/>
    </row>
    <row r="436">
      <c r="L436" s="227"/>
      <c r="N436" s="228"/>
      <c r="R436" s="228"/>
      <c r="S436" s="229"/>
    </row>
    <row r="437">
      <c r="L437" s="227"/>
      <c r="N437" s="228"/>
      <c r="R437" s="228"/>
      <c r="S437" s="229"/>
    </row>
    <row r="438">
      <c r="L438" s="227"/>
      <c r="N438" s="228"/>
      <c r="R438" s="228"/>
      <c r="S438" s="229"/>
    </row>
    <row r="439">
      <c r="L439" s="227"/>
      <c r="N439" s="228"/>
      <c r="R439" s="228"/>
      <c r="S439" s="229"/>
    </row>
    <row r="440">
      <c r="L440" s="227"/>
      <c r="N440" s="228"/>
      <c r="R440" s="228"/>
      <c r="S440" s="229"/>
    </row>
    <row r="441">
      <c r="L441" s="227"/>
      <c r="N441" s="228"/>
      <c r="R441" s="228"/>
      <c r="S441" s="229"/>
    </row>
    <row r="442">
      <c r="L442" s="227"/>
      <c r="N442" s="228"/>
      <c r="R442" s="228"/>
      <c r="S442" s="229"/>
    </row>
    <row r="443">
      <c r="L443" s="227"/>
      <c r="N443" s="228"/>
      <c r="R443" s="228"/>
      <c r="S443" s="229"/>
    </row>
    <row r="444">
      <c r="L444" s="227"/>
      <c r="N444" s="228"/>
      <c r="R444" s="228"/>
      <c r="S444" s="229"/>
    </row>
    <row r="445">
      <c r="L445" s="227"/>
      <c r="N445" s="228"/>
      <c r="R445" s="228"/>
      <c r="S445" s="229"/>
    </row>
    <row r="446">
      <c r="L446" s="227"/>
      <c r="N446" s="228"/>
      <c r="R446" s="228"/>
      <c r="S446" s="229"/>
    </row>
    <row r="447">
      <c r="L447" s="227"/>
      <c r="N447" s="228"/>
      <c r="R447" s="228"/>
      <c r="S447" s="229"/>
    </row>
    <row r="448">
      <c r="L448" s="227"/>
      <c r="N448" s="228"/>
      <c r="R448" s="228"/>
      <c r="S448" s="229"/>
    </row>
    <row r="449">
      <c r="L449" s="227"/>
      <c r="N449" s="228"/>
      <c r="R449" s="228"/>
      <c r="S449" s="229"/>
    </row>
    <row r="450">
      <c r="L450" s="227"/>
      <c r="N450" s="228"/>
      <c r="R450" s="228"/>
      <c r="S450" s="229"/>
    </row>
    <row r="451">
      <c r="L451" s="227"/>
      <c r="N451" s="228"/>
      <c r="R451" s="228"/>
      <c r="S451" s="229"/>
    </row>
    <row r="452">
      <c r="L452" s="227"/>
      <c r="N452" s="228"/>
      <c r="R452" s="228"/>
      <c r="S452" s="229"/>
    </row>
    <row r="453">
      <c r="L453" s="227"/>
      <c r="N453" s="228"/>
      <c r="R453" s="228"/>
      <c r="S453" s="229"/>
    </row>
    <row r="454">
      <c r="L454" s="227"/>
      <c r="N454" s="228"/>
      <c r="R454" s="228"/>
      <c r="S454" s="229"/>
    </row>
    <row r="455">
      <c r="L455" s="227"/>
      <c r="N455" s="228"/>
      <c r="R455" s="228"/>
      <c r="S455" s="229"/>
    </row>
    <row r="456">
      <c r="L456" s="227"/>
      <c r="N456" s="228"/>
      <c r="R456" s="228"/>
      <c r="S456" s="229"/>
    </row>
    <row r="457">
      <c r="L457" s="227"/>
      <c r="N457" s="228"/>
      <c r="R457" s="228"/>
      <c r="S457" s="229"/>
    </row>
    <row r="458">
      <c r="L458" s="227"/>
      <c r="N458" s="228"/>
      <c r="R458" s="228"/>
      <c r="S458" s="229"/>
    </row>
    <row r="459">
      <c r="L459" s="227"/>
      <c r="N459" s="228"/>
      <c r="R459" s="228"/>
      <c r="S459" s="229"/>
    </row>
    <row r="460">
      <c r="L460" s="227"/>
      <c r="N460" s="228"/>
      <c r="R460" s="228"/>
      <c r="S460" s="229"/>
    </row>
    <row r="461">
      <c r="L461" s="227"/>
      <c r="N461" s="228"/>
      <c r="R461" s="228"/>
      <c r="S461" s="229"/>
    </row>
    <row r="462">
      <c r="L462" s="227"/>
      <c r="N462" s="228"/>
      <c r="R462" s="228"/>
      <c r="S462" s="229"/>
    </row>
    <row r="463">
      <c r="L463" s="227"/>
      <c r="N463" s="228"/>
      <c r="R463" s="228"/>
      <c r="S463" s="229"/>
    </row>
    <row r="464">
      <c r="L464" s="227"/>
      <c r="N464" s="228"/>
      <c r="R464" s="228"/>
      <c r="S464" s="229"/>
    </row>
    <row r="465">
      <c r="L465" s="227"/>
      <c r="N465" s="228"/>
      <c r="R465" s="228"/>
      <c r="S465" s="229"/>
    </row>
    <row r="466">
      <c r="L466" s="227"/>
      <c r="N466" s="228"/>
      <c r="R466" s="228"/>
      <c r="S466" s="229"/>
    </row>
    <row r="467">
      <c r="L467" s="227"/>
      <c r="N467" s="228"/>
      <c r="R467" s="228"/>
      <c r="S467" s="229"/>
    </row>
    <row r="468">
      <c r="L468" s="227"/>
      <c r="N468" s="228"/>
      <c r="R468" s="228"/>
      <c r="S468" s="229"/>
    </row>
    <row r="469">
      <c r="L469" s="227"/>
      <c r="N469" s="228"/>
      <c r="R469" s="228"/>
      <c r="S469" s="229"/>
    </row>
    <row r="470">
      <c r="L470" s="227"/>
      <c r="N470" s="228"/>
      <c r="R470" s="228"/>
      <c r="S470" s="229"/>
    </row>
    <row r="471">
      <c r="L471" s="227"/>
      <c r="N471" s="228"/>
      <c r="R471" s="228"/>
      <c r="S471" s="229"/>
    </row>
    <row r="472">
      <c r="L472" s="227"/>
      <c r="N472" s="228"/>
      <c r="R472" s="228"/>
      <c r="S472" s="229"/>
    </row>
    <row r="473">
      <c r="L473" s="227"/>
      <c r="N473" s="228"/>
      <c r="R473" s="228"/>
      <c r="S473" s="229"/>
    </row>
    <row r="474">
      <c r="L474" s="227"/>
      <c r="N474" s="228"/>
      <c r="R474" s="228"/>
      <c r="S474" s="229"/>
    </row>
    <row r="475">
      <c r="L475" s="227"/>
      <c r="N475" s="228"/>
      <c r="R475" s="228"/>
      <c r="S475" s="229"/>
    </row>
    <row r="476">
      <c r="L476" s="227"/>
      <c r="N476" s="228"/>
      <c r="R476" s="228"/>
      <c r="S476" s="229"/>
    </row>
    <row r="477">
      <c r="L477" s="227"/>
      <c r="N477" s="228"/>
      <c r="R477" s="228"/>
      <c r="S477" s="229"/>
    </row>
    <row r="478">
      <c r="L478" s="227"/>
      <c r="N478" s="228"/>
      <c r="R478" s="228"/>
      <c r="S478" s="229"/>
    </row>
    <row r="479">
      <c r="L479" s="227"/>
      <c r="N479" s="228"/>
      <c r="R479" s="228"/>
      <c r="S479" s="229"/>
    </row>
    <row r="480">
      <c r="L480" s="227"/>
      <c r="N480" s="228"/>
      <c r="R480" s="228"/>
      <c r="S480" s="229"/>
    </row>
    <row r="481">
      <c r="L481" s="227"/>
      <c r="N481" s="228"/>
      <c r="R481" s="228"/>
      <c r="S481" s="229"/>
    </row>
    <row r="482">
      <c r="L482" s="227"/>
      <c r="N482" s="228"/>
      <c r="R482" s="228"/>
      <c r="S482" s="229"/>
    </row>
    <row r="483">
      <c r="L483" s="227"/>
      <c r="N483" s="228"/>
      <c r="R483" s="228"/>
      <c r="S483" s="229"/>
    </row>
    <row r="484">
      <c r="L484" s="227"/>
      <c r="N484" s="228"/>
      <c r="R484" s="228"/>
      <c r="S484" s="229"/>
    </row>
    <row r="485">
      <c r="L485" s="227"/>
      <c r="N485" s="228"/>
      <c r="R485" s="228"/>
      <c r="S485" s="229"/>
    </row>
    <row r="486">
      <c r="L486" s="227"/>
      <c r="N486" s="228"/>
      <c r="R486" s="228"/>
      <c r="S486" s="229"/>
    </row>
    <row r="487">
      <c r="L487" s="227"/>
      <c r="N487" s="228"/>
      <c r="R487" s="228"/>
      <c r="S487" s="229"/>
    </row>
    <row r="488">
      <c r="L488" s="227"/>
      <c r="N488" s="228"/>
      <c r="R488" s="228"/>
      <c r="S488" s="229"/>
    </row>
    <row r="489">
      <c r="L489" s="227"/>
      <c r="N489" s="228"/>
      <c r="R489" s="228"/>
      <c r="S489" s="229"/>
    </row>
    <row r="490">
      <c r="L490" s="227"/>
      <c r="N490" s="228"/>
      <c r="R490" s="228"/>
      <c r="S490" s="229"/>
    </row>
    <row r="491">
      <c r="L491" s="227"/>
      <c r="N491" s="228"/>
      <c r="R491" s="228"/>
      <c r="S491" s="229"/>
    </row>
    <row r="492">
      <c r="L492" s="227"/>
      <c r="N492" s="228"/>
      <c r="R492" s="228"/>
      <c r="S492" s="229"/>
    </row>
    <row r="493">
      <c r="L493" s="227"/>
      <c r="N493" s="228"/>
      <c r="R493" s="228"/>
      <c r="S493" s="229"/>
    </row>
    <row r="494">
      <c r="L494" s="227"/>
      <c r="N494" s="228"/>
      <c r="R494" s="228"/>
      <c r="S494" s="229"/>
    </row>
    <row r="495">
      <c r="L495" s="227"/>
      <c r="N495" s="228"/>
      <c r="R495" s="228"/>
      <c r="S495" s="229"/>
    </row>
    <row r="496">
      <c r="L496" s="227"/>
      <c r="N496" s="228"/>
      <c r="R496" s="228"/>
      <c r="S496" s="229"/>
    </row>
    <row r="497">
      <c r="L497" s="227"/>
      <c r="N497" s="228"/>
      <c r="R497" s="228"/>
      <c r="S497" s="229"/>
    </row>
    <row r="498">
      <c r="L498" s="227"/>
      <c r="N498" s="228"/>
      <c r="R498" s="228"/>
      <c r="S498" s="229"/>
    </row>
    <row r="499">
      <c r="L499" s="227"/>
      <c r="N499" s="228"/>
      <c r="R499" s="228"/>
      <c r="S499" s="229"/>
    </row>
    <row r="500">
      <c r="L500" s="227"/>
      <c r="N500" s="228"/>
      <c r="R500" s="228"/>
      <c r="S500" s="229"/>
    </row>
    <row r="501">
      <c r="L501" s="227"/>
      <c r="N501" s="228"/>
      <c r="R501" s="228"/>
      <c r="S501" s="229"/>
    </row>
    <row r="502">
      <c r="L502" s="227"/>
      <c r="N502" s="228"/>
      <c r="R502" s="228"/>
      <c r="S502" s="229"/>
    </row>
    <row r="503">
      <c r="L503" s="227"/>
      <c r="N503" s="228"/>
      <c r="R503" s="228"/>
      <c r="S503" s="229"/>
    </row>
    <row r="504">
      <c r="L504" s="227"/>
      <c r="N504" s="228"/>
      <c r="R504" s="228"/>
      <c r="S504" s="229"/>
    </row>
    <row r="505">
      <c r="L505" s="227"/>
      <c r="N505" s="228"/>
      <c r="R505" s="228"/>
      <c r="S505" s="229"/>
    </row>
    <row r="506">
      <c r="L506" s="227"/>
      <c r="N506" s="228"/>
      <c r="R506" s="228"/>
      <c r="S506" s="229"/>
    </row>
    <row r="507">
      <c r="L507" s="227"/>
      <c r="N507" s="228"/>
      <c r="R507" s="228"/>
      <c r="S507" s="229"/>
    </row>
    <row r="508">
      <c r="L508" s="227"/>
      <c r="N508" s="228"/>
      <c r="R508" s="228"/>
      <c r="S508" s="229"/>
    </row>
    <row r="509">
      <c r="L509" s="227"/>
      <c r="N509" s="228"/>
      <c r="R509" s="228"/>
      <c r="S509" s="229"/>
    </row>
    <row r="510">
      <c r="L510" s="227"/>
      <c r="N510" s="228"/>
      <c r="R510" s="228"/>
      <c r="S510" s="229"/>
    </row>
    <row r="511">
      <c r="L511" s="227"/>
      <c r="N511" s="228"/>
      <c r="R511" s="228"/>
      <c r="S511" s="229"/>
    </row>
    <row r="512">
      <c r="L512" s="227"/>
      <c r="N512" s="228"/>
      <c r="R512" s="228"/>
      <c r="S512" s="229"/>
    </row>
    <row r="513">
      <c r="L513" s="227"/>
      <c r="N513" s="228"/>
      <c r="R513" s="228"/>
      <c r="S513" s="229"/>
    </row>
    <row r="514">
      <c r="L514" s="227"/>
      <c r="N514" s="228"/>
      <c r="R514" s="228"/>
      <c r="S514" s="229"/>
    </row>
    <row r="515">
      <c r="L515" s="227"/>
      <c r="N515" s="228"/>
      <c r="R515" s="228"/>
      <c r="S515" s="229"/>
    </row>
    <row r="516">
      <c r="L516" s="227"/>
      <c r="N516" s="228"/>
      <c r="R516" s="228"/>
      <c r="S516" s="229"/>
    </row>
    <row r="517">
      <c r="L517" s="227"/>
      <c r="N517" s="228"/>
      <c r="R517" s="228"/>
      <c r="S517" s="229"/>
    </row>
    <row r="518">
      <c r="L518" s="227"/>
      <c r="N518" s="228"/>
      <c r="R518" s="228"/>
      <c r="S518" s="229"/>
    </row>
    <row r="519">
      <c r="L519" s="227"/>
      <c r="N519" s="228"/>
      <c r="R519" s="228"/>
      <c r="S519" s="229"/>
    </row>
    <row r="520">
      <c r="L520" s="227"/>
      <c r="N520" s="228"/>
      <c r="R520" s="228"/>
      <c r="S520" s="229"/>
    </row>
    <row r="521">
      <c r="L521" s="227"/>
      <c r="N521" s="228"/>
      <c r="R521" s="228"/>
      <c r="S521" s="229"/>
    </row>
    <row r="522">
      <c r="L522" s="227"/>
      <c r="N522" s="228"/>
      <c r="R522" s="228"/>
      <c r="S522" s="229"/>
    </row>
    <row r="523">
      <c r="L523" s="227"/>
      <c r="N523" s="228"/>
      <c r="R523" s="228"/>
      <c r="S523" s="229"/>
    </row>
    <row r="524">
      <c r="L524" s="227"/>
      <c r="N524" s="228"/>
      <c r="R524" s="228"/>
      <c r="S524" s="229"/>
    </row>
    <row r="525">
      <c r="L525" s="227"/>
      <c r="N525" s="228"/>
      <c r="R525" s="228"/>
      <c r="S525" s="229"/>
    </row>
    <row r="526">
      <c r="L526" s="227"/>
      <c r="N526" s="228"/>
      <c r="R526" s="228"/>
      <c r="S526" s="229"/>
    </row>
    <row r="527">
      <c r="L527" s="227"/>
      <c r="N527" s="228"/>
      <c r="R527" s="228"/>
      <c r="S527" s="229"/>
    </row>
    <row r="528">
      <c r="L528" s="227"/>
      <c r="N528" s="228"/>
      <c r="R528" s="228"/>
      <c r="S528" s="229"/>
    </row>
    <row r="529">
      <c r="L529" s="227"/>
      <c r="N529" s="228"/>
      <c r="R529" s="228"/>
      <c r="S529" s="229"/>
    </row>
    <row r="530">
      <c r="L530" s="227"/>
      <c r="N530" s="228"/>
      <c r="R530" s="228"/>
      <c r="S530" s="229"/>
    </row>
    <row r="531">
      <c r="L531" s="227"/>
      <c r="N531" s="228"/>
      <c r="R531" s="228"/>
      <c r="S531" s="229"/>
    </row>
    <row r="532">
      <c r="L532" s="227"/>
      <c r="N532" s="228"/>
      <c r="R532" s="228"/>
      <c r="S532" s="229"/>
    </row>
    <row r="533">
      <c r="L533" s="227"/>
      <c r="N533" s="228"/>
      <c r="R533" s="228"/>
      <c r="S533" s="229"/>
    </row>
    <row r="534">
      <c r="L534" s="227"/>
      <c r="N534" s="228"/>
      <c r="R534" s="228"/>
      <c r="S534" s="229"/>
    </row>
    <row r="535">
      <c r="L535" s="227"/>
      <c r="N535" s="228"/>
      <c r="R535" s="228"/>
      <c r="S535" s="229"/>
    </row>
    <row r="536">
      <c r="L536" s="227"/>
      <c r="N536" s="228"/>
      <c r="R536" s="228"/>
      <c r="S536" s="229"/>
    </row>
    <row r="537">
      <c r="L537" s="227"/>
      <c r="N537" s="228"/>
      <c r="R537" s="228"/>
      <c r="S537" s="229"/>
    </row>
    <row r="538">
      <c r="L538" s="227"/>
      <c r="N538" s="228"/>
      <c r="R538" s="228"/>
      <c r="S538" s="229"/>
    </row>
    <row r="539">
      <c r="L539" s="227"/>
      <c r="N539" s="228"/>
      <c r="R539" s="228"/>
      <c r="S539" s="229"/>
    </row>
    <row r="540">
      <c r="L540" s="227"/>
      <c r="N540" s="228"/>
      <c r="R540" s="228"/>
      <c r="S540" s="229"/>
    </row>
    <row r="541">
      <c r="L541" s="227"/>
      <c r="N541" s="228"/>
      <c r="R541" s="228"/>
      <c r="S541" s="229"/>
    </row>
    <row r="542">
      <c r="L542" s="227"/>
      <c r="N542" s="228"/>
      <c r="R542" s="228"/>
      <c r="S542" s="229"/>
    </row>
    <row r="543">
      <c r="L543" s="227"/>
      <c r="N543" s="228"/>
      <c r="R543" s="228"/>
      <c r="S543" s="229"/>
    </row>
    <row r="544">
      <c r="L544" s="227"/>
      <c r="N544" s="228"/>
      <c r="R544" s="228"/>
      <c r="S544" s="229"/>
    </row>
    <row r="545">
      <c r="L545" s="227"/>
      <c r="N545" s="228"/>
      <c r="R545" s="228"/>
      <c r="S545" s="229"/>
    </row>
    <row r="546">
      <c r="L546" s="227"/>
      <c r="N546" s="228"/>
      <c r="R546" s="228"/>
      <c r="S546" s="229"/>
    </row>
    <row r="547">
      <c r="L547" s="227"/>
      <c r="N547" s="228"/>
      <c r="R547" s="228"/>
      <c r="S547" s="229"/>
    </row>
    <row r="548">
      <c r="L548" s="227"/>
      <c r="N548" s="228"/>
      <c r="R548" s="228"/>
      <c r="S548" s="229"/>
    </row>
    <row r="549">
      <c r="L549" s="227"/>
      <c r="N549" s="228"/>
      <c r="R549" s="228"/>
      <c r="S549" s="229"/>
    </row>
    <row r="550">
      <c r="L550" s="227"/>
      <c r="N550" s="228"/>
      <c r="R550" s="228"/>
      <c r="S550" s="229"/>
    </row>
    <row r="551">
      <c r="L551" s="227"/>
      <c r="N551" s="228"/>
      <c r="R551" s="228"/>
      <c r="S551" s="229"/>
    </row>
    <row r="552">
      <c r="L552" s="227"/>
      <c r="N552" s="228"/>
      <c r="R552" s="228"/>
      <c r="S552" s="229"/>
    </row>
    <row r="553">
      <c r="L553" s="227"/>
      <c r="N553" s="228"/>
      <c r="R553" s="228"/>
      <c r="S553" s="229"/>
    </row>
    <row r="554">
      <c r="L554" s="227"/>
      <c r="N554" s="228"/>
      <c r="R554" s="228"/>
      <c r="S554" s="229"/>
    </row>
    <row r="555">
      <c r="L555" s="227"/>
      <c r="N555" s="228"/>
      <c r="R555" s="228"/>
      <c r="S555" s="229"/>
    </row>
    <row r="556">
      <c r="L556" s="227"/>
      <c r="N556" s="228"/>
      <c r="R556" s="228"/>
      <c r="S556" s="229"/>
    </row>
    <row r="557">
      <c r="L557" s="227"/>
      <c r="N557" s="228"/>
      <c r="R557" s="228"/>
      <c r="S557" s="229"/>
    </row>
    <row r="558">
      <c r="L558" s="227"/>
      <c r="N558" s="228"/>
      <c r="R558" s="228"/>
      <c r="S558" s="229"/>
    </row>
    <row r="559">
      <c r="L559" s="227"/>
      <c r="N559" s="228"/>
      <c r="R559" s="228"/>
      <c r="S559" s="229"/>
    </row>
    <row r="560">
      <c r="L560" s="227"/>
      <c r="N560" s="228"/>
      <c r="R560" s="228"/>
      <c r="S560" s="229"/>
    </row>
    <row r="561">
      <c r="L561" s="227"/>
      <c r="N561" s="228"/>
      <c r="R561" s="228"/>
      <c r="S561" s="229"/>
    </row>
    <row r="562">
      <c r="L562" s="227"/>
      <c r="N562" s="228"/>
      <c r="R562" s="228"/>
      <c r="S562" s="229"/>
    </row>
    <row r="563">
      <c r="L563" s="227"/>
      <c r="N563" s="228"/>
      <c r="R563" s="228"/>
      <c r="S563" s="229"/>
    </row>
    <row r="564">
      <c r="L564" s="227"/>
      <c r="N564" s="228"/>
      <c r="R564" s="228"/>
      <c r="S564" s="229"/>
    </row>
    <row r="565">
      <c r="L565" s="227"/>
      <c r="N565" s="228"/>
      <c r="R565" s="228"/>
      <c r="S565" s="229"/>
    </row>
    <row r="566">
      <c r="L566" s="227"/>
      <c r="N566" s="228"/>
      <c r="R566" s="228"/>
      <c r="S566" s="229"/>
    </row>
    <row r="567">
      <c r="L567" s="227"/>
      <c r="N567" s="228"/>
      <c r="R567" s="228"/>
      <c r="S567" s="229"/>
    </row>
    <row r="568">
      <c r="L568" s="227"/>
      <c r="N568" s="228"/>
      <c r="R568" s="228"/>
      <c r="S568" s="229"/>
    </row>
    <row r="569">
      <c r="L569" s="227"/>
      <c r="N569" s="228"/>
      <c r="R569" s="228"/>
      <c r="S569" s="229"/>
    </row>
    <row r="570">
      <c r="L570" s="227"/>
      <c r="N570" s="228"/>
      <c r="R570" s="228"/>
      <c r="S570" s="229"/>
    </row>
    <row r="571">
      <c r="L571" s="227"/>
      <c r="N571" s="228"/>
      <c r="R571" s="228"/>
      <c r="S571" s="229"/>
    </row>
    <row r="572">
      <c r="L572" s="227"/>
      <c r="N572" s="228"/>
      <c r="R572" s="228"/>
      <c r="S572" s="229"/>
    </row>
    <row r="573">
      <c r="L573" s="227"/>
      <c r="N573" s="228"/>
      <c r="R573" s="228"/>
      <c r="S573" s="229"/>
    </row>
    <row r="574">
      <c r="L574" s="227"/>
      <c r="N574" s="228"/>
      <c r="R574" s="228"/>
      <c r="S574" s="229"/>
    </row>
    <row r="575">
      <c r="L575" s="227"/>
      <c r="N575" s="228"/>
      <c r="R575" s="228"/>
      <c r="S575" s="229"/>
    </row>
    <row r="576">
      <c r="L576" s="227"/>
      <c r="N576" s="228"/>
      <c r="R576" s="228"/>
      <c r="S576" s="229"/>
    </row>
    <row r="577">
      <c r="L577" s="227"/>
      <c r="N577" s="228"/>
      <c r="R577" s="228"/>
      <c r="S577" s="229"/>
    </row>
    <row r="578">
      <c r="L578" s="227"/>
      <c r="N578" s="228"/>
      <c r="R578" s="228"/>
      <c r="S578" s="229"/>
    </row>
    <row r="579">
      <c r="L579" s="227"/>
      <c r="N579" s="228"/>
      <c r="R579" s="228"/>
      <c r="S579" s="229"/>
    </row>
    <row r="580">
      <c r="L580" s="227"/>
      <c r="N580" s="228"/>
      <c r="R580" s="228"/>
      <c r="S580" s="229"/>
    </row>
    <row r="581">
      <c r="L581" s="227"/>
      <c r="N581" s="228"/>
      <c r="R581" s="228"/>
      <c r="S581" s="229"/>
    </row>
    <row r="582">
      <c r="L582" s="227"/>
      <c r="N582" s="228"/>
      <c r="R582" s="228"/>
      <c r="S582" s="229"/>
    </row>
    <row r="583">
      <c r="L583" s="227"/>
      <c r="N583" s="228"/>
      <c r="R583" s="228"/>
      <c r="S583" s="229"/>
    </row>
    <row r="584">
      <c r="L584" s="227"/>
      <c r="N584" s="228"/>
      <c r="R584" s="228"/>
      <c r="S584" s="229"/>
    </row>
    <row r="585">
      <c r="L585" s="227"/>
      <c r="N585" s="228"/>
      <c r="R585" s="228"/>
      <c r="S585" s="229"/>
    </row>
    <row r="586">
      <c r="L586" s="227"/>
      <c r="N586" s="228"/>
      <c r="R586" s="228"/>
      <c r="S586" s="229"/>
    </row>
    <row r="587">
      <c r="L587" s="227"/>
      <c r="N587" s="228"/>
      <c r="R587" s="228"/>
      <c r="S587" s="229"/>
    </row>
    <row r="588">
      <c r="L588" s="227"/>
      <c r="N588" s="228"/>
      <c r="R588" s="228"/>
      <c r="S588" s="229"/>
    </row>
    <row r="589">
      <c r="L589" s="227"/>
      <c r="N589" s="228"/>
      <c r="R589" s="228"/>
      <c r="S589" s="229"/>
    </row>
    <row r="590">
      <c r="L590" s="227"/>
      <c r="N590" s="228"/>
      <c r="R590" s="228"/>
      <c r="S590" s="229"/>
    </row>
    <row r="591">
      <c r="L591" s="227"/>
      <c r="N591" s="228"/>
      <c r="R591" s="228"/>
      <c r="S591" s="229"/>
    </row>
    <row r="592">
      <c r="L592" s="227"/>
      <c r="N592" s="228"/>
      <c r="R592" s="228"/>
      <c r="S592" s="229"/>
    </row>
    <row r="593">
      <c r="L593" s="227"/>
      <c r="N593" s="228"/>
      <c r="R593" s="228"/>
      <c r="S593" s="229"/>
    </row>
    <row r="594">
      <c r="L594" s="227"/>
      <c r="N594" s="228"/>
      <c r="R594" s="228"/>
      <c r="S594" s="229"/>
    </row>
    <row r="595">
      <c r="L595" s="227"/>
      <c r="N595" s="228"/>
      <c r="R595" s="228"/>
      <c r="S595" s="229"/>
    </row>
    <row r="596">
      <c r="L596" s="227"/>
      <c r="N596" s="228"/>
      <c r="R596" s="228"/>
      <c r="S596" s="229"/>
    </row>
    <row r="597">
      <c r="L597" s="227"/>
      <c r="N597" s="228"/>
      <c r="R597" s="228"/>
      <c r="S597" s="229"/>
    </row>
    <row r="598">
      <c r="L598" s="227"/>
      <c r="N598" s="228"/>
      <c r="R598" s="228"/>
      <c r="S598" s="229"/>
    </row>
    <row r="599">
      <c r="L599" s="227"/>
      <c r="N599" s="228"/>
      <c r="R599" s="228"/>
      <c r="S599" s="229"/>
    </row>
    <row r="600">
      <c r="L600" s="227"/>
      <c r="N600" s="228"/>
      <c r="R600" s="228"/>
      <c r="S600" s="229"/>
    </row>
    <row r="601">
      <c r="L601" s="227"/>
      <c r="N601" s="228"/>
      <c r="R601" s="228"/>
      <c r="S601" s="229"/>
    </row>
    <row r="602">
      <c r="L602" s="227"/>
      <c r="N602" s="228"/>
      <c r="R602" s="228"/>
      <c r="S602" s="229"/>
    </row>
    <row r="603">
      <c r="L603" s="227"/>
      <c r="N603" s="228"/>
      <c r="R603" s="228"/>
      <c r="S603" s="229"/>
    </row>
    <row r="604">
      <c r="L604" s="227"/>
      <c r="N604" s="228"/>
      <c r="R604" s="228"/>
      <c r="S604" s="229"/>
    </row>
    <row r="605">
      <c r="L605" s="227"/>
      <c r="N605" s="228"/>
      <c r="R605" s="228"/>
      <c r="S605" s="229"/>
    </row>
    <row r="606">
      <c r="L606" s="227"/>
      <c r="N606" s="228"/>
      <c r="R606" s="228"/>
      <c r="S606" s="229"/>
    </row>
    <row r="607">
      <c r="L607" s="227"/>
      <c r="N607" s="228"/>
      <c r="R607" s="228"/>
      <c r="S607" s="229"/>
    </row>
    <row r="608">
      <c r="L608" s="227"/>
      <c r="N608" s="228"/>
      <c r="R608" s="228"/>
      <c r="S608" s="229"/>
    </row>
    <row r="609">
      <c r="L609" s="227"/>
      <c r="N609" s="228"/>
      <c r="R609" s="228"/>
      <c r="S609" s="229"/>
    </row>
    <row r="610">
      <c r="L610" s="227"/>
      <c r="N610" s="228"/>
      <c r="R610" s="228"/>
      <c r="S610" s="229"/>
    </row>
    <row r="611">
      <c r="L611" s="227"/>
      <c r="N611" s="228"/>
      <c r="R611" s="228"/>
      <c r="S611" s="229"/>
    </row>
    <row r="612">
      <c r="L612" s="227"/>
      <c r="N612" s="228"/>
      <c r="R612" s="228"/>
      <c r="S612" s="229"/>
    </row>
    <row r="613">
      <c r="L613" s="227"/>
      <c r="N613" s="228"/>
      <c r="R613" s="228"/>
      <c r="S613" s="229"/>
    </row>
    <row r="614">
      <c r="L614" s="227"/>
      <c r="N614" s="228"/>
      <c r="R614" s="228"/>
      <c r="S614" s="229"/>
    </row>
    <row r="615">
      <c r="L615" s="227"/>
      <c r="N615" s="228"/>
      <c r="R615" s="228"/>
      <c r="S615" s="229"/>
    </row>
    <row r="616">
      <c r="L616" s="227"/>
      <c r="N616" s="228"/>
      <c r="R616" s="228"/>
      <c r="S616" s="229"/>
    </row>
    <row r="617">
      <c r="L617" s="227"/>
      <c r="N617" s="228"/>
      <c r="R617" s="228"/>
      <c r="S617" s="229"/>
    </row>
    <row r="618">
      <c r="L618" s="227"/>
      <c r="N618" s="228"/>
      <c r="R618" s="228"/>
      <c r="S618" s="229"/>
    </row>
    <row r="619">
      <c r="L619" s="227"/>
      <c r="N619" s="228"/>
      <c r="R619" s="228"/>
      <c r="S619" s="229"/>
    </row>
    <row r="620">
      <c r="L620" s="227"/>
      <c r="N620" s="228"/>
      <c r="R620" s="228"/>
      <c r="S620" s="229"/>
    </row>
    <row r="621">
      <c r="L621" s="227"/>
      <c r="N621" s="228"/>
      <c r="R621" s="228"/>
      <c r="S621" s="229"/>
    </row>
    <row r="622">
      <c r="L622" s="227"/>
      <c r="N622" s="228"/>
      <c r="R622" s="228"/>
      <c r="S622" s="229"/>
    </row>
    <row r="623">
      <c r="L623" s="227"/>
      <c r="N623" s="228"/>
      <c r="R623" s="228"/>
      <c r="S623" s="229"/>
    </row>
    <row r="624">
      <c r="L624" s="227"/>
      <c r="N624" s="228"/>
      <c r="R624" s="228"/>
      <c r="S624" s="229"/>
    </row>
    <row r="625">
      <c r="L625" s="227"/>
      <c r="N625" s="228"/>
      <c r="R625" s="228"/>
      <c r="S625" s="229"/>
    </row>
    <row r="626">
      <c r="L626" s="227"/>
      <c r="N626" s="228"/>
      <c r="R626" s="228"/>
      <c r="S626" s="229"/>
    </row>
    <row r="627">
      <c r="L627" s="227"/>
      <c r="N627" s="228"/>
      <c r="R627" s="228"/>
      <c r="S627" s="229"/>
    </row>
    <row r="628">
      <c r="L628" s="227"/>
      <c r="N628" s="228"/>
      <c r="R628" s="228"/>
      <c r="S628" s="229"/>
    </row>
    <row r="629">
      <c r="L629" s="227"/>
      <c r="N629" s="228"/>
      <c r="R629" s="228"/>
      <c r="S629" s="229"/>
    </row>
    <row r="630">
      <c r="L630" s="227"/>
      <c r="N630" s="228"/>
      <c r="R630" s="228"/>
      <c r="S630" s="229"/>
    </row>
    <row r="631">
      <c r="L631" s="227"/>
      <c r="N631" s="228"/>
      <c r="R631" s="228"/>
      <c r="S631" s="229"/>
    </row>
    <row r="632">
      <c r="L632" s="227"/>
      <c r="N632" s="228"/>
      <c r="R632" s="228"/>
      <c r="S632" s="229"/>
    </row>
    <row r="633">
      <c r="L633" s="227"/>
      <c r="N633" s="228"/>
      <c r="R633" s="228"/>
      <c r="S633" s="229"/>
    </row>
    <row r="634">
      <c r="L634" s="227"/>
      <c r="N634" s="228"/>
      <c r="R634" s="228"/>
      <c r="S634" s="229"/>
    </row>
    <row r="635">
      <c r="L635" s="227"/>
      <c r="N635" s="228"/>
      <c r="R635" s="228"/>
      <c r="S635" s="229"/>
    </row>
    <row r="636">
      <c r="L636" s="227"/>
      <c r="N636" s="228"/>
      <c r="R636" s="228"/>
      <c r="S636" s="229"/>
    </row>
    <row r="637">
      <c r="L637" s="227"/>
      <c r="N637" s="228"/>
      <c r="R637" s="228"/>
      <c r="S637" s="229"/>
    </row>
    <row r="638">
      <c r="L638" s="227"/>
      <c r="N638" s="228"/>
      <c r="R638" s="228"/>
      <c r="S638" s="229"/>
    </row>
    <row r="639">
      <c r="L639" s="227"/>
      <c r="N639" s="228"/>
      <c r="R639" s="228"/>
      <c r="S639" s="229"/>
    </row>
    <row r="640">
      <c r="L640" s="227"/>
      <c r="N640" s="228"/>
      <c r="R640" s="228"/>
      <c r="S640" s="229"/>
    </row>
    <row r="641">
      <c r="L641" s="227"/>
      <c r="N641" s="228"/>
      <c r="R641" s="228"/>
      <c r="S641" s="229"/>
    </row>
    <row r="642">
      <c r="L642" s="227"/>
      <c r="N642" s="228"/>
      <c r="R642" s="228"/>
      <c r="S642" s="229"/>
    </row>
    <row r="643">
      <c r="L643" s="227"/>
      <c r="N643" s="228"/>
      <c r="R643" s="228"/>
      <c r="S643" s="229"/>
    </row>
    <row r="644">
      <c r="L644" s="227"/>
      <c r="N644" s="228"/>
      <c r="R644" s="228"/>
      <c r="S644" s="229"/>
    </row>
    <row r="645">
      <c r="L645" s="227"/>
      <c r="N645" s="228"/>
      <c r="R645" s="228"/>
      <c r="S645" s="229"/>
    </row>
    <row r="646">
      <c r="L646" s="227"/>
      <c r="N646" s="228"/>
      <c r="R646" s="228"/>
      <c r="S646" s="229"/>
    </row>
    <row r="647">
      <c r="L647" s="227"/>
      <c r="N647" s="228"/>
      <c r="R647" s="228"/>
      <c r="S647" s="229"/>
    </row>
    <row r="648">
      <c r="L648" s="227"/>
      <c r="N648" s="228"/>
      <c r="R648" s="228"/>
      <c r="S648" s="229"/>
    </row>
    <row r="649">
      <c r="L649" s="227"/>
      <c r="N649" s="228"/>
      <c r="R649" s="228"/>
      <c r="S649" s="229"/>
    </row>
    <row r="650">
      <c r="L650" s="227"/>
      <c r="N650" s="228"/>
      <c r="R650" s="228"/>
      <c r="S650" s="229"/>
    </row>
    <row r="651">
      <c r="L651" s="227"/>
      <c r="N651" s="228"/>
      <c r="R651" s="228"/>
      <c r="S651" s="229"/>
    </row>
    <row r="652">
      <c r="L652" s="227"/>
      <c r="N652" s="228"/>
      <c r="R652" s="228"/>
      <c r="S652" s="229"/>
    </row>
    <row r="653">
      <c r="L653" s="227"/>
      <c r="N653" s="228"/>
      <c r="R653" s="228"/>
      <c r="S653" s="229"/>
    </row>
    <row r="654">
      <c r="L654" s="227"/>
      <c r="N654" s="228"/>
      <c r="R654" s="228"/>
      <c r="S654" s="229"/>
    </row>
    <row r="655">
      <c r="L655" s="227"/>
      <c r="N655" s="228"/>
      <c r="R655" s="228"/>
      <c r="S655" s="229"/>
    </row>
    <row r="656">
      <c r="L656" s="227"/>
      <c r="N656" s="228"/>
      <c r="R656" s="228"/>
      <c r="S656" s="229"/>
    </row>
    <row r="657">
      <c r="L657" s="227"/>
      <c r="N657" s="228"/>
      <c r="R657" s="228"/>
      <c r="S657" s="229"/>
    </row>
    <row r="658">
      <c r="L658" s="227"/>
      <c r="N658" s="228"/>
      <c r="R658" s="228"/>
      <c r="S658" s="229"/>
    </row>
    <row r="659">
      <c r="L659" s="227"/>
      <c r="N659" s="228"/>
      <c r="R659" s="228"/>
      <c r="S659" s="229"/>
    </row>
    <row r="660">
      <c r="L660" s="227"/>
      <c r="N660" s="228"/>
      <c r="R660" s="228"/>
      <c r="S660" s="229"/>
    </row>
    <row r="661">
      <c r="L661" s="227"/>
      <c r="N661" s="228"/>
      <c r="R661" s="228"/>
      <c r="S661" s="229"/>
    </row>
    <row r="662">
      <c r="L662" s="227"/>
      <c r="N662" s="228"/>
      <c r="R662" s="228"/>
      <c r="S662" s="229"/>
    </row>
    <row r="663">
      <c r="L663" s="227"/>
      <c r="N663" s="228"/>
      <c r="R663" s="228"/>
      <c r="S663" s="229"/>
    </row>
    <row r="664">
      <c r="L664" s="227"/>
      <c r="N664" s="228"/>
      <c r="R664" s="228"/>
      <c r="S664" s="229"/>
    </row>
    <row r="665">
      <c r="L665" s="227"/>
      <c r="N665" s="228"/>
      <c r="R665" s="228"/>
      <c r="S665" s="229"/>
    </row>
    <row r="666">
      <c r="L666" s="227"/>
      <c r="N666" s="228"/>
      <c r="R666" s="228"/>
      <c r="S666" s="229"/>
    </row>
    <row r="667">
      <c r="L667" s="227"/>
      <c r="N667" s="228"/>
      <c r="R667" s="228"/>
      <c r="S667" s="229"/>
    </row>
    <row r="668">
      <c r="L668" s="227"/>
      <c r="N668" s="228"/>
      <c r="R668" s="228"/>
      <c r="S668" s="229"/>
    </row>
    <row r="669">
      <c r="L669" s="227"/>
      <c r="N669" s="228"/>
      <c r="R669" s="228"/>
      <c r="S669" s="229"/>
    </row>
    <row r="670">
      <c r="L670" s="227"/>
      <c r="N670" s="228"/>
      <c r="R670" s="228"/>
      <c r="S670" s="229"/>
    </row>
    <row r="671">
      <c r="L671" s="227"/>
      <c r="N671" s="228"/>
      <c r="R671" s="228"/>
      <c r="S671" s="229"/>
    </row>
    <row r="672">
      <c r="L672" s="227"/>
      <c r="N672" s="228"/>
      <c r="R672" s="228"/>
      <c r="S672" s="229"/>
    </row>
    <row r="673">
      <c r="L673" s="227"/>
      <c r="N673" s="228"/>
      <c r="R673" s="228"/>
      <c r="S673" s="229"/>
    </row>
    <row r="674">
      <c r="L674" s="227"/>
      <c r="N674" s="228"/>
      <c r="R674" s="228"/>
      <c r="S674" s="229"/>
    </row>
    <row r="675">
      <c r="L675" s="227"/>
      <c r="N675" s="228"/>
      <c r="R675" s="228"/>
      <c r="S675" s="229"/>
    </row>
    <row r="676">
      <c r="L676" s="227"/>
      <c r="N676" s="228"/>
      <c r="R676" s="228"/>
      <c r="S676" s="229"/>
    </row>
    <row r="677">
      <c r="L677" s="227"/>
      <c r="N677" s="228"/>
      <c r="R677" s="228"/>
      <c r="S677" s="229"/>
    </row>
    <row r="678">
      <c r="L678" s="227"/>
      <c r="N678" s="228"/>
      <c r="R678" s="228"/>
      <c r="S678" s="229"/>
    </row>
    <row r="679">
      <c r="L679" s="227"/>
      <c r="N679" s="228"/>
      <c r="R679" s="228"/>
      <c r="S679" s="229"/>
    </row>
    <row r="680">
      <c r="L680" s="227"/>
      <c r="N680" s="228"/>
      <c r="R680" s="228"/>
      <c r="S680" s="229"/>
    </row>
    <row r="681">
      <c r="L681" s="227"/>
      <c r="N681" s="228"/>
      <c r="R681" s="228"/>
      <c r="S681" s="229"/>
    </row>
    <row r="682">
      <c r="L682" s="227"/>
      <c r="N682" s="228"/>
      <c r="R682" s="228"/>
      <c r="S682" s="229"/>
    </row>
    <row r="683">
      <c r="L683" s="227"/>
      <c r="N683" s="228"/>
      <c r="R683" s="228"/>
      <c r="S683" s="229"/>
    </row>
    <row r="684">
      <c r="L684" s="227"/>
      <c r="N684" s="228"/>
      <c r="R684" s="228"/>
      <c r="S684" s="229"/>
    </row>
    <row r="685">
      <c r="L685" s="227"/>
      <c r="N685" s="228"/>
      <c r="R685" s="228"/>
      <c r="S685" s="229"/>
    </row>
    <row r="686">
      <c r="L686" s="227"/>
      <c r="N686" s="228"/>
      <c r="R686" s="228"/>
      <c r="S686" s="229"/>
    </row>
    <row r="687">
      <c r="L687" s="227"/>
      <c r="N687" s="228"/>
      <c r="R687" s="228"/>
      <c r="S687" s="229"/>
    </row>
    <row r="688">
      <c r="L688" s="227"/>
      <c r="N688" s="228"/>
      <c r="R688" s="228"/>
      <c r="S688" s="229"/>
    </row>
    <row r="689">
      <c r="L689" s="227"/>
      <c r="N689" s="228"/>
      <c r="R689" s="228"/>
      <c r="S689" s="229"/>
    </row>
    <row r="690">
      <c r="L690" s="227"/>
      <c r="N690" s="228"/>
      <c r="R690" s="228"/>
      <c r="S690" s="229"/>
    </row>
    <row r="691">
      <c r="L691" s="227"/>
      <c r="N691" s="228"/>
      <c r="R691" s="228"/>
      <c r="S691" s="229"/>
    </row>
    <row r="692">
      <c r="L692" s="227"/>
      <c r="N692" s="228"/>
      <c r="R692" s="228"/>
      <c r="S692" s="229"/>
    </row>
    <row r="693">
      <c r="L693" s="227"/>
      <c r="N693" s="228"/>
      <c r="R693" s="228"/>
      <c r="S693" s="229"/>
    </row>
    <row r="694">
      <c r="L694" s="227"/>
      <c r="N694" s="228"/>
      <c r="R694" s="228"/>
      <c r="S694" s="229"/>
    </row>
    <row r="695">
      <c r="L695" s="227"/>
      <c r="N695" s="228"/>
      <c r="R695" s="228"/>
      <c r="S695" s="229"/>
    </row>
    <row r="696">
      <c r="L696" s="227"/>
      <c r="N696" s="228"/>
      <c r="R696" s="228"/>
      <c r="S696" s="229"/>
    </row>
    <row r="697">
      <c r="L697" s="227"/>
      <c r="N697" s="228"/>
      <c r="R697" s="228"/>
      <c r="S697" s="229"/>
    </row>
    <row r="698">
      <c r="L698" s="227"/>
      <c r="N698" s="228"/>
      <c r="R698" s="228"/>
      <c r="S698" s="229"/>
    </row>
    <row r="699">
      <c r="L699" s="227"/>
      <c r="N699" s="228"/>
      <c r="R699" s="228"/>
      <c r="S699" s="229"/>
    </row>
    <row r="700">
      <c r="L700" s="227"/>
      <c r="N700" s="228"/>
      <c r="R700" s="228"/>
      <c r="S700" s="229"/>
    </row>
    <row r="701">
      <c r="L701" s="227"/>
      <c r="N701" s="228"/>
      <c r="R701" s="228"/>
      <c r="S701" s="229"/>
    </row>
    <row r="702">
      <c r="L702" s="227"/>
      <c r="N702" s="228"/>
      <c r="R702" s="228"/>
      <c r="S702" s="229"/>
    </row>
    <row r="703">
      <c r="L703" s="227"/>
      <c r="N703" s="228"/>
      <c r="R703" s="228"/>
      <c r="S703" s="229"/>
    </row>
    <row r="704">
      <c r="L704" s="227"/>
      <c r="N704" s="228"/>
      <c r="R704" s="228"/>
      <c r="S704" s="229"/>
    </row>
    <row r="705">
      <c r="L705" s="227"/>
      <c r="N705" s="228"/>
      <c r="R705" s="228"/>
      <c r="S705" s="229"/>
    </row>
    <row r="706">
      <c r="L706" s="227"/>
      <c r="N706" s="228"/>
      <c r="R706" s="228"/>
      <c r="S706" s="229"/>
    </row>
    <row r="707">
      <c r="L707" s="227"/>
      <c r="N707" s="228"/>
      <c r="R707" s="228"/>
      <c r="S707" s="229"/>
    </row>
    <row r="708">
      <c r="L708" s="227"/>
      <c r="N708" s="228"/>
      <c r="R708" s="228"/>
      <c r="S708" s="229"/>
    </row>
    <row r="709">
      <c r="L709" s="227"/>
      <c r="N709" s="228"/>
      <c r="R709" s="228"/>
      <c r="S709" s="229"/>
    </row>
    <row r="710">
      <c r="L710" s="227"/>
      <c r="N710" s="228"/>
      <c r="R710" s="228"/>
      <c r="S710" s="229"/>
    </row>
    <row r="711">
      <c r="L711" s="227"/>
      <c r="N711" s="228"/>
      <c r="R711" s="228"/>
      <c r="S711" s="229"/>
    </row>
    <row r="712">
      <c r="L712" s="227"/>
      <c r="N712" s="228"/>
      <c r="R712" s="228"/>
      <c r="S712" s="229"/>
    </row>
    <row r="713">
      <c r="L713" s="227"/>
      <c r="N713" s="228"/>
      <c r="R713" s="228"/>
      <c r="S713" s="229"/>
    </row>
    <row r="714">
      <c r="L714" s="227"/>
      <c r="N714" s="228"/>
      <c r="R714" s="228"/>
      <c r="S714" s="229"/>
    </row>
    <row r="715">
      <c r="L715" s="227"/>
      <c r="N715" s="228"/>
      <c r="R715" s="228"/>
      <c r="S715" s="229"/>
    </row>
    <row r="716">
      <c r="L716" s="227"/>
      <c r="N716" s="228"/>
      <c r="R716" s="228"/>
      <c r="S716" s="229"/>
    </row>
    <row r="717">
      <c r="L717" s="227"/>
      <c r="N717" s="228"/>
      <c r="R717" s="228"/>
      <c r="S717" s="229"/>
    </row>
    <row r="718">
      <c r="L718" s="227"/>
      <c r="N718" s="228"/>
      <c r="R718" s="228"/>
      <c r="S718" s="229"/>
    </row>
    <row r="719">
      <c r="L719" s="227"/>
      <c r="N719" s="228"/>
      <c r="R719" s="228"/>
      <c r="S719" s="229"/>
    </row>
    <row r="720">
      <c r="L720" s="227"/>
      <c r="N720" s="228"/>
      <c r="R720" s="228"/>
      <c r="S720" s="229"/>
    </row>
    <row r="721">
      <c r="L721" s="227"/>
      <c r="N721" s="228"/>
      <c r="R721" s="228"/>
      <c r="S721" s="229"/>
    </row>
    <row r="722">
      <c r="L722" s="227"/>
      <c r="N722" s="228"/>
      <c r="R722" s="228"/>
      <c r="S722" s="229"/>
    </row>
    <row r="723">
      <c r="L723" s="227"/>
      <c r="N723" s="228"/>
      <c r="R723" s="228"/>
      <c r="S723" s="229"/>
    </row>
    <row r="724">
      <c r="L724" s="227"/>
      <c r="N724" s="228"/>
      <c r="R724" s="228"/>
      <c r="S724" s="229"/>
    </row>
    <row r="725">
      <c r="L725" s="227"/>
      <c r="N725" s="228"/>
      <c r="R725" s="228"/>
      <c r="S725" s="229"/>
    </row>
    <row r="726">
      <c r="L726" s="227"/>
      <c r="N726" s="228"/>
      <c r="R726" s="228"/>
      <c r="S726" s="229"/>
    </row>
    <row r="727">
      <c r="L727" s="227"/>
      <c r="N727" s="228"/>
      <c r="R727" s="228"/>
      <c r="S727" s="229"/>
    </row>
    <row r="728">
      <c r="L728" s="227"/>
      <c r="N728" s="228"/>
      <c r="R728" s="228"/>
      <c r="S728" s="229"/>
    </row>
    <row r="729">
      <c r="L729" s="227"/>
      <c r="N729" s="228"/>
      <c r="R729" s="228"/>
      <c r="S729" s="229"/>
    </row>
    <row r="730">
      <c r="L730" s="227"/>
      <c r="N730" s="228"/>
      <c r="R730" s="228"/>
      <c r="S730" s="229"/>
    </row>
    <row r="731">
      <c r="L731" s="227"/>
      <c r="N731" s="228"/>
      <c r="R731" s="228"/>
      <c r="S731" s="229"/>
    </row>
    <row r="732">
      <c r="L732" s="227"/>
      <c r="N732" s="228"/>
      <c r="R732" s="228"/>
      <c r="S732" s="229"/>
    </row>
    <row r="733">
      <c r="L733" s="227"/>
      <c r="N733" s="228"/>
      <c r="R733" s="228"/>
      <c r="S733" s="229"/>
    </row>
    <row r="734">
      <c r="L734" s="227"/>
      <c r="N734" s="228"/>
      <c r="R734" s="228"/>
      <c r="S734" s="229"/>
    </row>
    <row r="735">
      <c r="L735" s="227"/>
      <c r="N735" s="228"/>
      <c r="R735" s="228"/>
      <c r="S735" s="229"/>
    </row>
    <row r="736">
      <c r="L736" s="227"/>
      <c r="N736" s="228"/>
      <c r="R736" s="228"/>
      <c r="S736" s="229"/>
    </row>
    <row r="737">
      <c r="L737" s="227"/>
      <c r="N737" s="228"/>
      <c r="R737" s="228"/>
      <c r="S737" s="229"/>
    </row>
    <row r="738">
      <c r="L738" s="227"/>
      <c r="N738" s="228"/>
      <c r="R738" s="228"/>
      <c r="S738" s="229"/>
    </row>
    <row r="739">
      <c r="L739" s="227"/>
      <c r="N739" s="228"/>
      <c r="R739" s="228"/>
      <c r="S739" s="229"/>
    </row>
    <row r="740">
      <c r="L740" s="227"/>
      <c r="N740" s="228"/>
      <c r="R740" s="228"/>
      <c r="S740" s="229"/>
    </row>
    <row r="741">
      <c r="L741" s="227"/>
      <c r="N741" s="228"/>
      <c r="R741" s="228"/>
      <c r="S741" s="229"/>
    </row>
    <row r="742">
      <c r="L742" s="227"/>
      <c r="N742" s="228"/>
      <c r="R742" s="228"/>
      <c r="S742" s="229"/>
    </row>
    <row r="743">
      <c r="L743" s="227"/>
      <c r="N743" s="228"/>
      <c r="R743" s="228"/>
      <c r="S743" s="229"/>
    </row>
    <row r="744">
      <c r="L744" s="227"/>
      <c r="N744" s="228"/>
      <c r="R744" s="228"/>
      <c r="S744" s="229"/>
    </row>
    <row r="745">
      <c r="L745" s="227"/>
      <c r="N745" s="228"/>
      <c r="R745" s="228"/>
      <c r="S745" s="229"/>
    </row>
    <row r="746">
      <c r="L746" s="227"/>
      <c r="N746" s="228"/>
      <c r="R746" s="228"/>
      <c r="S746" s="229"/>
    </row>
    <row r="747">
      <c r="L747" s="227"/>
      <c r="N747" s="228"/>
      <c r="R747" s="228"/>
      <c r="S747" s="229"/>
    </row>
    <row r="748">
      <c r="L748" s="227"/>
      <c r="N748" s="228"/>
      <c r="R748" s="228"/>
      <c r="S748" s="229"/>
    </row>
    <row r="749">
      <c r="L749" s="227"/>
      <c r="N749" s="228"/>
      <c r="R749" s="228"/>
      <c r="S749" s="229"/>
    </row>
    <row r="750">
      <c r="L750" s="227"/>
      <c r="N750" s="228"/>
      <c r="R750" s="228"/>
      <c r="S750" s="229"/>
    </row>
    <row r="751">
      <c r="L751" s="227"/>
      <c r="N751" s="228"/>
      <c r="R751" s="228"/>
      <c r="S751" s="229"/>
    </row>
    <row r="752">
      <c r="L752" s="227"/>
      <c r="N752" s="228"/>
      <c r="R752" s="228"/>
      <c r="S752" s="229"/>
    </row>
    <row r="753">
      <c r="L753" s="227"/>
      <c r="N753" s="228"/>
      <c r="R753" s="228"/>
      <c r="S753" s="229"/>
    </row>
    <row r="754">
      <c r="L754" s="227"/>
      <c r="N754" s="228"/>
      <c r="R754" s="228"/>
      <c r="S754" s="229"/>
    </row>
    <row r="755">
      <c r="L755" s="227"/>
      <c r="N755" s="228"/>
      <c r="R755" s="228"/>
      <c r="S755" s="229"/>
    </row>
    <row r="756">
      <c r="L756" s="227"/>
      <c r="N756" s="228"/>
      <c r="R756" s="228"/>
      <c r="S756" s="229"/>
    </row>
    <row r="757">
      <c r="L757" s="227"/>
      <c r="N757" s="228"/>
      <c r="R757" s="228"/>
      <c r="S757" s="229"/>
    </row>
    <row r="758">
      <c r="L758" s="227"/>
      <c r="N758" s="228"/>
      <c r="R758" s="228"/>
      <c r="S758" s="229"/>
    </row>
    <row r="759">
      <c r="L759" s="227"/>
      <c r="N759" s="228"/>
      <c r="R759" s="228"/>
      <c r="S759" s="229"/>
    </row>
    <row r="760">
      <c r="L760" s="227"/>
      <c r="N760" s="228"/>
      <c r="R760" s="228"/>
      <c r="S760" s="229"/>
    </row>
    <row r="761">
      <c r="L761" s="227"/>
      <c r="N761" s="228"/>
      <c r="R761" s="228"/>
      <c r="S761" s="229"/>
    </row>
    <row r="762">
      <c r="L762" s="227"/>
      <c r="N762" s="228"/>
      <c r="R762" s="228"/>
      <c r="S762" s="229"/>
    </row>
    <row r="763">
      <c r="L763" s="227"/>
      <c r="N763" s="228"/>
      <c r="R763" s="228"/>
      <c r="S763" s="229"/>
    </row>
    <row r="764">
      <c r="L764" s="227"/>
      <c r="N764" s="228"/>
      <c r="R764" s="228"/>
      <c r="S764" s="229"/>
    </row>
    <row r="765">
      <c r="L765" s="227"/>
      <c r="N765" s="228"/>
      <c r="R765" s="228"/>
      <c r="S765" s="229"/>
    </row>
    <row r="766">
      <c r="L766" s="227"/>
      <c r="N766" s="228"/>
      <c r="R766" s="228"/>
      <c r="S766" s="229"/>
    </row>
    <row r="767">
      <c r="L767" s="227"/>
      <c r="N767" s="228"/>
      <c r="R767" s="228"/>
      <c r="S767" s="229"/>
    </row>
    <row r="768">
      <c r="L768" s="227"/>
      <c r="N768" s="228"/>
      <c r="R768" s="228"/>
      <c r="S768" s="229"/>
    </row>
    <row r="769">
      <c r="L769" s="227"/>
      <c r="N769" s="228"/>
      <c r="R769" s="228"/>
      <c r="S769" s="229"/>
    </row>
    <row r="770">
      <c r="L770" s="227"/>
      <c r="N770" s="228"/>
      <c r="R770" s="228"/>
      <c r="S770" s="229"/>
    </row>
    <row r="771">
      <c r="L771" s="227"/>
      <c r="N771" s="228"/>
      <c r="R771" s="228"/>
      <c r="S771" s="229"/>
    </row>
    <row r="772">
      <c r="L772" s="227"/>
      <c r="N772" s="228"/>
      <c r="R772" s="228"/>
      <c r="S772" s="229"/>
    </row>
    <row r="773">
      <c r="L773" s="227"/>
      <c r="N773" s="228"/>
      <c r="R773" s="228"/>
      <c r="S773" s="229"/>
    </row>
    <row r="774">
      <c r="L774" s="227"/>
      <c r="N774" s="228"/>
      <c r="R774" s="228"/>
      <c r="S774" s="229"/>
    </row>
    <row r="775">
      <c r="L775" s="227"/>
      <c r="N775" s="228"/>
      <c r="R775" s="228"/>
      <c r="S775" s="229"/>
    </row>
    <row r="776">
      <c r="L776" s="227"/>
      <c r="N776" s="228"/>
      <c r="R776" s="228"/>
      <c r="S776" s="229"/>
    </row>
    <row r="777">
      <c r="L777" s="227"/>
      <c r="N777" s="228"/>
      <c r="R777" s="228"/>
      <c r="S777" s="229"/>
    </row>
    <row r="778">
      <c r="L778" s="227"/>
      <c r="N778" s="228"/>
      <c r="R778" s="228"/>
      <c r="S778" s="229"/>
    </row>
    <row r="779">
      <c r="L779" s="227"/>
      <c r="N779" s="228"/>
      <c r="R779" s="228"/>
      <c r="S779" s="229"/>
    </row>
    <row r="780">
      <c r="L780" s="227"/>
      <c r="N780" s="228"/>
      <c r="R780" s="228"/>
      <c r="S780" s="229"/>
    </row>
    <row r="781">
      <c r="L781" s="227"/>
      <c r="N781" s="228"/>
      <c r="R781" s="228"/>
      <c r="S781" s="229"/>
    </row>
    <row r="782">
      <c r="L782" s="227"/>
      <c r="N782" s="228"/>
      <c r="R782" s="228"/>
      <c r="S782" s="229"/>
    </row>
    <row r="783">
      <c r="L783" s="227"/>
      <c r="N783" s="228"/>
      <c r="R783" s="228"/>
      <c r="S783" s="229"/>
    </row>
    <row r="784">
      <c r="L784" s="227"/>
      <c r="N784" s="228"/>
      <c r="R784" s="228"/>
      <c r="S784" s="229"/>
    </row>
    <row r="785">
      <c r="L785" s="227"/>
      <c r="N785" s="228"/>
      <c r="R785" s="228"/>
      <c r="S785" s="229"/>
    </row>
    <row r="786">
      <c r="L786" s="227"/>
      <c r="N786" s="228"/>
      <c r="R786" s="228"/>
      <c r="S786" s="229"/>
    </row>
    <row r="787">
      <c r="L787" s="227"/>
      <c r="N787" s="228"/>
      <c r="R787" s="228"/>
      <c r="S787" s="229"/>
    </row>
    <row r="788">
      <c r="L788" s="227"/>
      <c r="N788" s="228"/>
      <c r="R788" s="228"/>
      <c r="S788" s="229"/>
    </row>
    <row r="789">
      <c r="L789" s="227"/>
      <c r="N789" s="228"/>
      <c r="R789" s="228"/>
      <c r="S789" s="229"/>
    </row>
    <row r="790">
      <c r="L790" s="227"/>
      <c r="N790" s="228"/>
      <c r="R790" s="228"/>
      <c r="S790" s="229"/>
    </row>
    <row r="791">
      <c r="L791" s="227"/>
      <c r="N791" s="228"/>
      <c r="R791" s="228"/>
      <c r="S791" s="229"/>
    </row>
    <row r="792">
      <c r="L792" s="227"/>
      <c r="N792" s="228"/>
      <c r="R792" s="228"/>
      <c r="S792" s="229"/>
    </row>
    <row r="793">
      <c r="L793" s="227"/>
      <c r="N793" s="228"/>
      <c r="R793" s="228"/>
      <c r="S793" s="229"/>
    </row>
    <row r="794">
      <c r="L794" s="227"/>
      <c r="N794" s="228"/>
      <c r="R794" s="228"/>
      <c r="S794" s="229"/>
    </row>
    <row r="795">
      <c r="L795" s="227"/>
      <c r="N795" s="228"/>
      <c r="R795" s="228"/>
      <c r="S795" s="229"/>
    </row>
    <row r="796">
      <c r="L796" s="227"/>
      <c r="N796" s="228"/>
      <c r="R796" s="228"/>
      <c r="S796" s="229"/>
    </row>
    <row r="797">
      <c r="L797" s="227"/>
      <c r="N797" s="228"/>
      <c r="R797" s="228"/>
      <c r="S797" s="229"/>
    </row>
    <row r="798">
      <c r="L798" s="227"/>
      <c r="N798" s="228"/>
      <c r="R798" s="228"/>
      <c r="S798" s="229"/>
    </row>
    <row r="799">
      <c r="L799" s="227"/>
      <c r="N799" s="228"/>
      <c r="R799" s="228"/>
      <c r="S799" s="229"/>
    </row>
    <row r="800">
      <c r="L800" s="227"/>
      <c r="N800" s="228"/>
      <c r="R800" s="228"/>
      <c r="S800" s="229"/>
    </row>
    <row r="801">
      <c r="L801" s="227"/>
      <c r="N801" s="228"/>
      <c r="R801" s="228"/>
      <c r="S801" s="229"/>
    </row>
    <row r="802">
      <c r="L802" s="227"/>
      <c r="N802" s="228"/>
      <c r="R802" s="228"/>
      <c r="S802" s="229"/>
    </row>
    <row r="803">
      <c r="L803" s="227"/>
      <c r="N803" s="228"/>
      <c r="R803" s="228"/>
      <c r="S803" s="229"/>
    </row>
    <row r="804">
      <c r="L804" s="227"/>
      <c r="N804" s="228"/>
      <c r="R804" s="228"/>
      <c r="S804" s="229"/>
    </row>
    <row r="805">
      <c r="L805" s="227"/>
      <c r="N805" s="228"/>
      <c r="R805" s="228"/>
      <c r="S805" s="229"/>
    </row>
    <row r="806">
      <c r="L806" s="227"/>
      <c r="N806" s="228"/>
      <c r="R806" s="228"/>
      <c r="S806" s="229"/>
    </row>
    <row r="807">
      <c r="L807" s="227"/>
      <c r="N807" s="228"/>
      <c r="R807" s="228"/>
      <c r="S807" s="229"/>
    </row>
    <row r="808">
      <c r="L808" s="227"/>
      <c r="N808" s="228"/>
      <c r="R808" s="228"/>
      <c r="S808" s="229"/>
    </row>
    <row r="809">
      <c r="L809" s="227"/>
      <c r="N809" s="228"/>
      <c r="R809" s="228"/>
      <c r="S809" s="229"/>
    </row>
    <row r="810">
      <c r="L810" s="227"/>
      <c r="N810" s="228"/>
      <c r="R810" s="228"/>
      <c r="S810" s="229"/>
    </row>
    <row r="811">
      <c r="L811" s="227"/>
      <c r="N811" s="228"/>
      <c r="R811" s="228"/>
      <c r="S811" s="229"/>
    </row>
    <row r="812">
      <c r="L812" s="227"/>
      <c r="N812" s="228"/>
      <c r="R812" s="228"/>
      <c r="S812" s="229"/>
    </row>
    <row r="813">
      <c r="L813" s="227"/>
      <c r="N813" s="228"/>
      <c r="R813" s="228"/>
      <c r="S813" s="229"/>
    </row>
    <row r="814">
      <c r="L814" s="227"/>
      <c r="N814" s="228"/>
      <c r="R814" s="228"/>
      <c r="S814" s="229"/>
    </row>
    <row r="815">
      <c r="L815" s="227"/>
      <c r="N815" s="228"/>
      <c r="R815" s="228"/>
      <c r="S815" s="229"/>
    </row>
    <row r="816">
      <c r="L816" s="227"/>
      <c r="N816" s="228"/>
      <c r="R816" s="228"/>
      <c r="S816" s="229"/>
    </row>
    <row r="817">
      <c r="L817" s="227"/>
      <c r="N817" s="228"/>
      <c r="R817" s="228"/>
      <c r="S817" s="229"/>
    </row>
    <row r="818">
      <c r="L818" s="227"/>
      <c r="N818" s="228"/>
      <c r="R818" s="228"/>
      <c r="S818" s="229"/>
    </row>
    <row r="819">
      <c r="L819" s="227"/>
      <c r="N819" s="228"/>
      <c r="R819" s="228"/>
      <c r="S819" s="229"/>
    </row>
    <row r="820">
      <c r="L820" s="227"/>
      <c r="N820" s="228"/>
      <c r="R820" s="228"/>
      <c r="S820" s="229"/>
    </row>
    <row r="821">
      <c r="L821" s="227"/>
      <c r="N821" s="228"/>
      <c r="R821" s="228"/>
      <c r="S821" s="229"/>
    </row>
    <row r="822">
      <c r="L822" s="227"/>
      <c r="N822" s="228"/>
      <c r="R822" s="228"/>
      <c r="S822" s="229"/>
    </row>
    <row r="823">
      <c r="L823" s="227"/>
      <c r="N823" s="228"/>
      <c r="R823" s="228"/>
      <c r="S823" s="229"/>
    </row>
    <row r="824">
      <c r="L824" s="227"/>
      <c r="N824" s="228"/>
      <c r="R824" s="228"/>
      <c r="S824" s="229"/>
    </row>
    <row r="825">
      <c r="L825" s="227"/>
      <c r="N825" s="228"/>
      <c r="R825" s="228"/>
      <c r="S825" s="229"/>
    </row>
    <row r="826">
      <c r="L826" s="227"/>
      <c r="N826" s="228"/>
      <c r="R826" s="228"/>
      <c r="S826" s="229"/>
    </row>
    <row r="827">
      <c r="L827" s="227"/>
      <c r="N827" s="228"/>
      <c r="R827" s="228"/>
      <c r="S827" s="229"/>
    </row>
    <row r="828">
      <c r="L828" s="227"/>
      <c r="N828" s="228"/>
      <c r="R828" s="228"/>
      <c r="S828" s="229"/>
    </row>
    <row r="829">
      <c r="L829" s="227"/>
      <c r="N829" s="228"/>
      <c r="R829" s="228"/>
      <c r="S829" s="229"/>
    </row>
    <row r="830">
      <c r="L830" s="227"/>
      <c r="N830" s="228"/>
      <c r="R830" s="228"/>
      <c r="S830" s="229"/>
    </row>
    <row r="831">
      <c r="L831" s="227"/>
      <c r="N831" s="228"/>
      <c r="R831" s="228"/>
      <c r="S831" s="229"/>
    </row>
    <row r="832">
      <c r="L832" s="227"/>
      <c r="N832" s="228"/>
      <c r="R832" s="228"/>
      <c r="S832" s="229"/>
    </row>
    <row r="833">
      <c r="L833" s="227"/>
      <c r="N833" s="228"/>
      <c r="R833" s="228"/>
      <c r="S833" s="229"/>
    </row>
    <row r="834">
      <c r="L834" s="227"/>
      <c r="N834" s="228"/>
      <c r="R834" s="228"/>
      <c r="S834" s="229"/>
    </row>
    <row r="835">
      <c r="L835" s="227"/>
      <c r="N835" s="228"/>
      <c r="R835" s="228"/>
      <c r="S835" s="229"/>
    </row>
    <row r="836">
      <c r="L836" s="227"/>
      <c r="N836" s="228"/>
      <c r="R836" s="228"/>
      <c r="S836" s="229"/>
    </row>
    <row r="837">
      <c r="L837" s="227"/>
      <c r="N837" s="228"/>
      <c r="R837" s="228"/>
      <c r="S837" s="229"/>
    </row>
    <row r="838">
      <c r="L838" s="227"/>
      <c r="N838" s="228"/>
      <c r="R838" s="228"/>
      <c r="S838" s="229"/>
    </row>
    <row r="839">
      <c r="L839" s="227"/>
      <c r="N839" s="228"/>
      <c r="R839" s="228"/>
      <c r="S839" s="229"/>
    </row>
    <row r="840">
      <c r="L840" s="227"/>
      <c r="N840" s="228"/>
      <c r="R840" s="228"/>
      <c r="S840" s="229"/>
    </row>
    <row r="841">
      <c r="L841" s="227"/>
      <c r="N841" s="228"/>
      <c r="R841" s="228"/>
      <c r="S841" s="229"/>
    </row>
    <row r="842">
      <c r="L842" s="227"/>
      <c r="N842" s="228"/>
      <c r="R842" s="228"/>
      <c r="S842" s="229"/>
    </row>
    <row r="843">
      <c r="L843" s="227"/>
      <c r="N843" s="228"/>
      <c r="R843" s="228"/>
      <c r="S843" s="229"/>
    </row>
    <row r="844">
      <c r="L844" s="227"/>
      <c r="N844" s="228"/>
      <c r="R844" s="228"/>
      <c r="S844" s="229"/>
    </row>
    <row r="845">
      <c r="L845" s="227"/>
      <c r="N845" s="228"/>
      <c r="R845" s="228"/>
      <c r="S845" s="229"/>
    </row>
    <row r="846">
      <c r="L846" s="227"/>
      <c r="N846" s="228"/>
      <c r="R846" s="228"/>
      <c r="S846" s="229"/>
    </row>
    <row r="847">
      <c r="L847" s="227"/>
      <c r="N847" s="228"/>
      <c r="R847" s="228"/>
      <c r="S847" s="229"/>
    </row>
    <row r="848">
      <c r="L848" s="227"/>
      <c r="N848" s="228"/>
      <c r="R848" s="228"/>
      <c r="S848" s="229"/>
    </row>
    <row r="849">
      <c r="L849" s="227"/>
      <c r="N849" s="228"/>
      <c r="R849" s="228"/>
      <c r="S849" s="229"/>
    </row>
    <row r="850">
      <c r="L850" s="227"/>
      <c r="N850" s="228"/>
      <c r="R850" s="228"/>
      <c r="S850" s="229"/>
    </row>
    <row r="851">
      <c r="L851" s="227"/>
      <c r="N851" s="228"/>
      <c r="R851" s="228"/>
      <c r="S851" s="229"/>
    </row>
    <row r="852">
      <c r="L852" s="227"/>
      <c r="N852" s="228"/>
      <c r="R852" s="228"/>
      <c r="S852" s="229"/>
    </row>
    <row r="853">
      <c r="L853" s="227"/>
      <c r="N853" s="228"/>
      <c r="R853" s="228"/>
      <c r="S853" s="229"/>
    </row>
    <row r="854">
      <c r="L854" s="227"/>
      <c r="N854" s="228"/>
      <c r="R854" s="228"/>
      <c r="S854" s="229"/>
    </row>
    <row r="855">
      <c r="L855" s="227"/>
      <c r="N855" s="228"/>
      <c r="R855" s="228"/>
      <c r="S855" s="229"/>
    </row>
    <row r="856">
      <c r="L856" s="227"/>
      <c r="N856" s="228"/>
      <c r="R856" s="228"/>
      <c r="S856" s="229"/>
    </row>
    <row r="857">
      <c r="L857" s="227"/>
      <c r="N857" s="228"/>
      <c r="R857" s="228"/>
      <c r="S857" s="229"/>
    </row>
    <row r="858">
      <c r="L858" s="227"/>
      <c r="N858" s="228"/>
      <c r="R858" s="228"/>
      <c r="S858" s="229"/>
    </row>
    <row r="859">
      <c r="L859" s="227"/>
      <c r="N859" s="228"/>
      <c r="R859" s="228"/>
      <c r="S859" s="229"/>
    </row>
    <row r="860">
      <c r="L860" s="227"/>
      <c r="N860" s="228"/>
      <c r="R860" s="228"/>
      <c r="S860" s="229"/>
    </row>
    <row r="861">
      <c r="L861" s="227"/>
      <c r="N861" s="228"/>
      <c r="R861" s="228"/>
      <c r="S861" s="229"/>
    </row>
    <row r="862">
      <c r="L862" s="227"/>
      <c r="N862" s="228"/>
      <c r="R862" s="228"/>
      <c r="S862" s="229"/>
    </row>
    <row r="863">
      <c r="L863" s="227"/>
      <c r="N863" s="228"/>
      <c r="R863" s="228"/>
      <c r="S863" s="229"/>
    </row>
    <row r="864">
      <c r="L864" s="227"/>
      <c r="N864" s="228"/>
      <c r="R864" s="228"/>
      <c r="S864" s="229"/>
    </row>
    <row r="865">
      <c r="L865" s="227"/>
      <c r="N865" s="228"/>
      <c r="R865" s="228"/>
      <c r="S865" s="229"/>
    </row>
    <row r="866">
      <c r="L866" s="227"/>
      <c r="N866" s="228"/>
      <c r="R866" s="228"/>
      <c r="S866" s="229"/>
    </row>
    <row r="867">
      <c r="L867" s="227"/>
      <c r="N867" s="228"/>
      <c r="R867" s="228"/>
      <c r="S867" s="229"/>
    </row>
    <row r="868">
      <c r="L868" s="227"/>
      <c r="N868" s="228"/>
      <c r="R868" s="228"/>
      <c r="S868" s="229"/>
    </row>
    <row r="869">
      <c r="L869" s="227"/>
      <c r="N869" s="228"/>
      <c r="R869" s="228"/>
      <c r="S869" s="229"/>
    </row>
    <row r="870">
      <c r="L870" s="227"/>
      <c r="N870" s="228"/>
      <c r="R870" s="228"/>
      <c r="S870" s="229"/>
    </row>
    <row r="871">
      <c r="L871" s="227"/>
      <c r="N871" s="228"/>
      <c r="R871" s="228"/>
      <c r="S871" s="229"/>
    </row>
    <row r="872">
      <c r="L872" s="227"/>
      <c r="N872" s="228"/>
      <c r="R872" s="228"/>
      <c r="S872" s="229"/>
    </row>
    <row r="873">
      <c r="L873" s="227"/>
      <c r="N873" s="228"/>
      <c r="R873" s="228"/>
      <c r="S873" s="229"/>
    </row>
    <row r="874">
      <c r="L874" s="227"/>
      <c r="N874" s="228"/>
      <c r="R874" s="228"/>
      <c r="S874" s="229"/>
    </row>
    <row r="875">
      <c r="L875" s="227"/>
      <c r="N875" s="228"/>
      <c r="R875" s="228"/>
      <c r="S875" s="229"/>
    </row>
    <row r="876">
      <c r="L876" s="227"/>
      <c r="N876" s="228"/>
      <c r="R876" s="228"/>
      <c r="S876" s="229"/>
    </row>
    <row r="877">
      <c r="L877" s="227"/>
      <c r="N877" s="228"/>
      <c r="R877" s="228"/>
      <c r="S877" s="229"/>
    </row>
    <row r="878">
      <c r="L878" s="227"/>
      <c r="N878" s="228"/>
      <c r="R878" s="228"/>
      <c r="S878" s="229"/>
    </row>
    <row r="879">
      <c r="L879" s="227"/>
      <c r="N879" s="228"/>
      <c r="R879" s="228"/>
      <c r="S879" s="229"/>
    </row>
    <row r="880">
      <c r="L880" s="227"/>
      <c r="N880" s="228"/>
      <c r="R880" s="228"/>
      <c r="S880" s="229"/>
    </row>
    <row r="881">
      <c r="L881" s="227"/>
      <c r="N881" s="228"/>
      <c r="R881" s="228"/>
      <c r="S881" s="229"/>
    </row>
    <row r="882">
      <c r="L882" s="227"/>
      <c r="N882" s="228"/>
      <c r="R882" s="228"/>
      <c r="S882" s="229"/>
    </row>
    <row r="883">
      <c r="L883" s="227"/>
      <c r="N883" s="228"/>
      <c r="R883" s="228"/>
      <c r="S883" s="229"/>
    </row>
    <row r="884">
      <c r="L884" s="227"/>
      <c r="N884" s="228"/>
      <c r="R884" s="228"/>
      <c r="S884" s="229"/>
    </row>
    <row r="885">
      <c r="L885" s="227"/>
      <c r="N885" s="228"/>
      <c r="R885" s="228"/>
      <c r="S885" s="229"/>
    </row>
    <row r="886">
      <c r="L886" s="227"/>
      <c r="N886" s="228"/>
      <c r="R886" s="228"/>
      <c r="S886" s="229"/>
    </row>
    <row r="887">
      <c r="L887" s="227"/>
      <c r="N887" s="228"/>
      <c r="R887" s="228"/>
      <c r="S887" s="229"/>
    </row>
    <row r="888">
      <c r="L888" s="227"/>
      <c r="N888" s="228"/>
      <c r="R888" s="228"/>
      <c r="S888" s="229"/>
    </row>
    <row r="889">
      <c r="L889" s="227"/>
      <c r="N889" s="228"/>
      <c r="R889" s="228"/>
      <c r="S889" s="229"/>
    </row>
    <row r="890">
      <c r="L890" s="227"/>
      <c r="N890" s="228"/>
      <c r="R890" s="228"/>
      <c r="S890" s="229"/>
    </row>
    <row r="891">
      <c r="L891" s="227"/>
      <c r="N891" s="228"/>
      <c r="R891" s="228"/>
      <c r="S891" s="229"/>
    </row>
    <row r="892">
      <c r="L892" s="227"/>
      <c r="N892" s="228"/>
      <c r="R892" s="228"/>
      <c r="S892" s="229"/>
    </row>
    <row r="893">
      <c r="L893" s="227"/>
      <c r="N893" s="228"/>
      <c r="R893" s="228"/>
      <c r="S893" s="229"/>
    </row>
    <row r="894">
      <c r="L894" s="227"/>
      <c r="N894" s="228"/>
      <c r="R894" s="228"/>
      <c r="S894" s="229"/>
    </row>
    <row r="895">
      <c r="L895" s="227"/>
      <c r="N895" s="228"/>
      <c r="R895" s="228"/>
      <c r="S895" s="229"/>
    </row>
    <row r="896">
      <c r="L896" s="227"/>
      <c r="N896" s="228"/>
      <c r="R896" s="228"/>
      <c r="S896" s="229"/>
    </row>
    <row r="897">
      <c r="L897" s="227"/>
      <c r="N897" s="228"/>
      <c r="R897" s="228"/>
      <c r="S897" s="229"/>
    </row>
    <row r="898">
      <c r="L898" s="227"/>
      <c r="N898" s="228"/>
      <c r="R898" s="228"/>
      <c r="S898" s="229"/>
    </row>
    <row r="899">
      <c r="L899" s="227"/>
      <c r="N899" s="228"/>
      <c r="R899" s="228"/>
      <c r="S899" s="229"/>
    </row>
    <row r="900">
      <c r="L900" s="227"/>
      <c r="N900" s="228"/>
      <c r="R900" s="228"/>
      <c r="S900" s="229"/>
    </row>
    <row r="901">
      <c r="L901" s="227"/>
      <c r="N901" s="228"/>
      <c r="R901" s="228"/>
      <c r="S901" s="229"/>
    </row>
    <row r="902">
      <c r="L902" s="227"/>
      <c r="N902" s="228"/>
      <c r="R902" s="228"/>
      <c r="S902" s="229"/>
    </row>
    <row r="903">
      <c r="L903" s="227"/>
      <c r="N903" s="228"/>
      <c r="R903" s="228"/>
      <c r="S903" s="229"/>
    </row>
    <row r="904">
      <c r="L904" s="227"/>
      <c r="N904" s="228"/>
      <c r="R904" s="228"/>
      <c r="S904" s="229"/>
    </row>
    <row r="905">
      <c r="L905" s="227"/>
      <c r="N905" s="228"/>
      <c r="R905" s="228"/>
      <c r="S905" s="229"/>
    </row>
    <row r="906">
      <c r="L906" s="227"/>
      <c r="N906" s="228"/>
      <c r="R906" s="228"/>
      <c r="S906" s="229"/>
    </row>
    <row r="907">
      <c r="L907" s="227"/>
      <c r="N907" s="228"/>
      <c r="R907" s="228"/>
      <c r="S907" s="229"/>
    </row>
    <row r="908">
      <c r="L908" s="227"/>
      <c r="N908" s="228"/>
      <c r="R908" s="228"/>
      <c r="S908" s="229"/>
    </row>
    <row r="909">
      <c r="L909" s="227"/>
      <c r="N909" s="228"/>
      <c r="R909" s="228"/>
      <c r="S909" s="229"/>
    </row>
    <row r="910">
      <c r="L910" s="227"/>
      <c r="N910" s="228"/>
      <c r="R910" s="228"/>
      <c r="S910" s="229"/>
    </row>
    <row r="911">
      <c r="L911" s="227"/>
      <c r="N911" s="228"/>
      <c r="R911" s="228"/>
      <c r="S911" s="229"/>
    </row>
    <row r="912">
      <c r="L912" s="227"/>
      <c r="N912" s="228"/>
      <c r="R912" s="228"/>
      <c r="S912" s="229"/>
    </row>
    <row r="913">
      <c r="L913" s="227"/>
      <c r="N913" s="228"/>
      <c r="R913" s="228"/>
      <c r="S913" s="229"/>
    </row>
    <row r="914">
      <c r="L914" s="227"/>
      <c r="N914" s="228"/>
      <c r="R914" s="228"/>
      <c r="S914" s="229"/>
    </row>
    <row r="915">
      <c r="L915" s="227"/>
      <c r="N915" s="228"/>
      <c r="R915" s="228"/>
      <c r="S915" s="229"/>
    </row>
    <row r="916">
      <c r="L916" s="227"/>
      <c r="N916" s="228"/>
      <c r="R916" s="228"/>
      <c r="S916" s="229"/>
    </row>
    <row r="917">
      <c r="L917" s="227"/>
      <c r="N917" s="228"/>
      <c r="R917" s="228"/>
      <c r="S917" s="229"/>
    </row>
    <row r="918">
      <c r="L918" s="227"/>
      <c r="N918" s="228"/>
      <c r="R918" s="228"/>
      <c r="S918" s="229"/>
    </row>
    <row r="919">
      <c r="L919" s="227"/>
      <c r="N919" s="228"/>
      <c r="R919" s="228"/>
      <c r="S919" s="229"/>
    </row>
    <row r="920">
      <c r="L920" s="227"/>
      <c r="N920" s="228"/>
      <c r="R920" s="228"/>
      <c r="S920" s="229"/>
    </row>
    <row r="921">
      <c r="L921" s="227"/>
      <c r="N921" s="228"/>
      <c r="R921" s="228"/>
      <c r="S921" s="229"/>
    </row>
    <row r="922">
      <c r="L922" s="227"/>
      <c r="N922" s="228"/>
      <c r="R922" s="228"/>
      <c r="S922" s="229"/>
    </row>
    <row r="923">
      <c r="L923" s="227"/>
      <c r="N923" s="228"/>
      <c r="R923" s="228"/>
      <c r="S923" s="229"/>
    </row>
    <row r="924">
      <c r="L924" s="227"/>
      <c r="N924" s="228"/>
      <c r="R924" s="228"/>
      <c r="S924" s="229"/>
    </row>
    <row r="925">
      <c r="L925" s="227"/>
      <c r="N925" s="228"/>
      <c r="R925" s="228"/>
      <c r="S925" s="229"/>
    </row>
    <row r="926">
      <c r="L926" s="227"/>
      <c r="N926" s="228"/>
      <c r="R926" s="228"/>
      <c r="S926" s="229"/>
    </row>
    <row r="927">
      <c r="L927" s="227"/>
      <c r="N927" s="228"/>
      <c r="R927" s="228"/>
      <c r="S927" s="229"/>
    </row>
    <row r="928">
      <c r="L928" s="227"/>
      <c r="N928" s="228"/>
      <c r="R928" s="228"/>
      <c r="S928" s="229"/>
    </row>
    <row r="929">
      <c r="L929" s="227"/>
      <c r="N929" s="228"/>
      <c r="R929" s="228"/>
      <c r="S929" s="229"/>
    </row>
    <row r="930">
      <c r="L930" s="227"/>
      <c r="N930" s="228"/>
      <c r="R930" s="228"/>
      <c r="S930" s="229"/>
    </row>
    <row r="931">
      <c r="L931" s="227"/>
      <c r="N931" s="228"/>
      <c r="R931" s="228"/>
      <c r="S931" s="229"/>
    </row>
    <row r="932">
      <c r="L932" s="227"/>
      <c r="N932" s="228"/>
      <c r="R932" s="228"/>
      <c r="S932" s="229"/>
    </row>
    <row r="933">
      <c r="L933" s="227"/>
      <c r="N933" s="228"/>
      <c r="R933" s="228"/>
      <c r="S933" s="229"/>
    </row>
    <row r="934">
      <c r="L934" s="227"/>
      <c r="N934" s="228"/>
      <c r="R934" s="228"/>
      <c r="S934" s="229"/>
    </row>
    <row r="935">
      <c r="L935" s="227"/>
      <c r="N935" s="228"/>
      <c r="R935" s="228"/>
      <c r="S935" s="229"/>
    </row>
    <row r="936">
      <c r="L936" s="227"/>
      <c r="N936" s="228"/>
      <c r="R936" s="228"/>
      <c r="S936" s="229"/>
    </row>
    <row r="937">
      <c r="L937" s="227"/>
      <c r="N937" s="228"/>
      <c r="R937" s="228"/>
      <c r="S937" s="229"/>
    </row>
    <row r="938">
      <c r="L938" s="227"/>
      <c r="N938" s="228"/>
      <c r="R938" s="228"/>
      <c r="S938" s="229"/>
    </row>
    <row r="939">
      <c r="L939" s="227"/>
      <c r="N939" s="228"/>
      <c r="R939" s="228"/>
      <c r="S939" s="229"/>
    </row>
    <row r="940">
      <c r="L940" s="227"/>
      <c r="N940" s="228"/>
      <c r="R940" s="228"/>
      <c r="S940" s="229"/>
    </row>
    <row r="941">
      <c r="L941" s="227"/>
      <c r="N941" s="228"/>
      <c r="R941" s="228"/>
      <c r="S941" s="229"/>
    </row>
    <row r="942">
      <c r="L942" s="227"/>
      <c r="N942" s="228"/>
      <c r="R942" s="228"/>
      <c r="S942" s="229"/>
    </row>
    <row r="943">
      <c r="L943" s="227"/>
      <c r="N943" s="228"/>
      <c r="R943" s="228"/>
      <c r="S943" s="229"/>
    </row>
    <row r="944">
      <c r="L944" s="227"/>
      <c r="N944" s="228"/>
      <c r="R944" s="228"/>
      <c r="S944" s="229"/>
    </row>
    <row r="945">
      <c r="L945" s="227"/>
      <c r="N945" s="228"/>
      <c r="R945" s="228"/>
      <c r="S945" s="229"/>
    </row>
    <row r="946">
      <c r="L946" s="227"/>
      <c r="N946" s="228"/>
      <c r="R946" s="228"/>
      <c r="S946" s="229"/>
    </row>
    <row r="947">
      <c r="L947" s="227"/>
      <c r="N947" s="228"/>
      <c r="R947" s="228"/>
      <c r="S947" s="229"/>
    </row>
    <row r="948">
      <c r="L948" s="227"/>
      <c r="N948" s="228"/>
      <c r="R948" s="228"/>
      <c r="S948" s="229"/>
    </row>
    <row r="949">
      <c r="L949" s="227"/>
      <c r="N949" s="228"/>
      <c r="R949" s="228"/>
      <c r="S949" s="229"/>
    </row>
    <row r="950">
      <c r="L950" s="227"/>
      <c r="N950" s="228"/>
      <c r="R950" s="228"/>
      <c r="S950" s="229"/>
    </row>
    <row r="951">
      <c r="L951" s="227"/>
      <c r="N951" s="228"/>
      <c r="R951" s="228"/>
      <c r="S951" s="229"/>
    </row>
    <row r="952">
      <c r="L952" s="227"/>
      <c r="N952" s="228"/>
      <c r="R952" s="228"/>
      <c r="S952" s="229"/>
    </row>
    <row r="953">
      <c r="L953" s="227"/>
      <c r="N953" s="228"/>
      <c r="R953" s="228"/>
      <c r="S953" s="229"/>
    </row>
    <row r="954">
      <c r="L954" s="227"/>
      <c r="N954" s="228"/>
      <c r="R954" s="228"/>
      <c r="S954" s="229"/>
    </row>
    <row r="955">
      <c r="L955" s="227"/>
      <c r="N955" s="228"/>
      <c r="R955" s="228"/>
      <c r="S955" s="229"/>
    </row>
    <row r="956">
      <c r="L956" s="227"/>
      <c r="N956" s="228"/>
      <c r="R956" s="228"/>
      <c r="S956" s="229"/>
    </row>
    <row r="957">
      <c r="L957" s="227"/>
      <c r="N957" s="228"/>
      <c r="R957" s="228"/>
      <c r="S957" s="229"/>
    </row>
    <row r="958">
      <c r="L958" s="227"/>
      <c r="N958" s="228"/>
      <c r="R958" s="228"/>
      <c r="S958" s="229"/>
    </row>
    <row r="959">
      <c r="L959" s="227"/>
      <c r="N959" s="228"/>
      <c r="R959" s="228"/>
      <c r="S959" s="229"/>
    </row>
    <row r="960">
      <c r="L960" s="227"/>
      <c r="N960" s="228"/>
      <c r="R960" s="228"/>
      <c r="S960" s="229"/>
    </row>
    <row r="961">
      <c r="L961" s="227"/>
      <c r="N961" s="228"/>
      <c r="R961" s="228"/>
      <c r="S961" s="229"/>
    </row>
    <row r="962">
      <c r="L962" s="227"/>
      <c r="N962" s="228"/>
      <c r="R962" s="228"/>
      <c r="S962" s="229"/>
    </row>
    <row r="963">
      <c r="L963" s="227"/>
      <c r="N963" s="228"/>
      <c r="R963" s="228"/>
      <c r="S963" s="229"/>
    </row>
    <row r="964">
      <c r="L964" s="227"/>
      <c r="N964" s="228"/>
      <c r="R964" s="228"/>
      <c r="S964" s="229"/>
    </row>
    <row r="965">
      <c r="L965" s="227"/>
      <c r="N965" s="228"/>
      <c r="R965" s="228"/>
      <c r="S965" s="229"/>
    </row>
    <row r="966">
      <c r="L966" s="227"/>
      <c r="N966" s="228"/>
      <c r="R966" s="228"/>
      <c r="S966" s="229"/>
    </row>
    <row r="967">
      <c r="L967" s="227"/>
      <c r="N967" s="228"/>
      <c r="R967" s="228"/>
      <c r="S967" s="229"/>
    </row>
    <row r="968">
      <c r="L968" s="227"/>
      <c r="N968" s="228"/>
      <c r="R968" s="228"/>
      <c r="S968" s="229"/>
    </row>
    <row r="969">
      <c r="L969" s="227"/>
      <c r="N969" s="228"/>
      <c r="R969" s="228"/>
      <c r="S969" s="229"/>
    </row>
    <row r="970">
      <c r="L970" s="227"/>
      <c r="N970" s="228"/>
      <c r="R970" s="228"/>
      <c r="S970" s="229"/>
    </row>
    <row r="971">
      <c r="L971" s="227"/>
      <c r="N971" s="228"/>
      <c r="R971" s="228"/>
      <c r="S971" s="229"/>
    </row>
    <row r="972">
      <c r="L972" s="227"/>
      <c r="N972" s="228"/>
      <c r="R972" s="228"/>
      <c r="S972" s="229"/>
    </row>
    <row r="973">
      <c r="L973" s="227"/>
      <c r="N973" s="228"/>
      <c r="R973" s="228"/>
      <c r="S973" s="229"/>
    </row>
    <row r="974">
      <c r="L974" s="227"/>
      <c r="N974" s="228"/>
      <c r="R974" s="228"/>
      <c r="S974" s="229"/>
    </row>
    <row r="975">
      <c r="L975" s="227"/>
      <c r="N975" s="228"/>
      <c r="R975" s="228"/>
      <c r="S975" s="229"/>
    </row>
    <row r="976">
      <c r="L976" s="227"/>
      <c r="N976" s="228"/>
      <c r="R976" s="228"/>
      <c r="S976" s="229"/>
    </row>
    <row r="977">
      <c r="L977" s="227"/>
      <c r="N977" s="228"/>
      <c r="R977" s="228"/>
      <c r="S977" s="229"/>
    </row>
    <row r="978">
      <c r="L978" s="227"/>
      <c r="N978" s="228"/>
      <c r="R978" s="228"/>
      <c r="S978" s="229"/>
    </row>
    <row r="979">
      <c r="L979" s="227"/>
      <c r="N979" s="228"/>
      <c r="R979" s="228"/>
      <c r="S979" s="229"/>
    </row>
    <row r="980">
      <c r="L980" s="227"/>
      <c r="N980" s="228"/>
      <c r="R980" s="228"/>
      <c r="S980" s="229"/>
    </row>
    <row r="981">
      <c r="L981" s="227"/>
      <c r="N981" s="228"/>
      <c r="R981" s="228"/>
      <c r="S981" s="229"/>
    </row>
    <row r="982">
      <c r="L982" s="227"/>
      <c r="N982" s="228"/>
      <c r="R982" s="228"/>
      <c r="S982" s="229"/>
    </row>
    <row r="983">
      <c r="L983" s="227"/>
      <c r="N983" s="228"/>
      <c r="R983" s="228"/>
      <c r="S983" s="229"/>
    </row>
    <row r="984">
      <c r="L984" s="227"/>
      <c r="N984" s="228"/>
      <c r="R984" s="228"/>
      <c r="S984" s="229"/>
    </row>
    <row r="985">
      <c r="L985" s="227"/>
      <c r="N985" s="228"/>
      <c r="R985" s="228"/>
      <c r="S985" s="229"/>
    </row>
    <row r="986">
      <c r="L986" s="227"/>
      <c r="N986" s="228"/>
      <c r="R986" s="228"/>
      <c r="S986" s="229"/>
    </row>
    <row r="987">
      <c r="L987" s="227"/>
      <c r="N987" s="228"/>
      <c r="R987" s="228"/>
      <c r="S987" s="229"/>
    </row>
    <row r="988">
      <c r="L988" s="227"/>
      <c r="N988" s="228"/>
      <c r="R988" s="228"/>
      <c r="S988" s="229"/>
    </row>
    <row r="989">
      <c r="L989" s="227"/>
      <c r="N989" s="228"/>
      <c r="R989" s="228"/>
      <c r="S989" s="229"/>
    </row>
    <row r="990">
      <c r="L990" s="227"/>
      <c r="N990" s="228"/>
      <c r="R990" s="228"/>
      <c r="S990" s="229"/>
    </row>
    <row r="991">
      <c r="L991" s="227"/>
      <c r="N991" s="228"/>
      <c r="R991" s="228"/>
      <c r="S991" s="229"/>
    </row>
    <row r="992">
      <c r="L992" s="227"/>
      <c r="N992" s="228"/>
      <c r="R992" s="228"/>
      <c r="S992" s="229"/>
    </row>
    <row r="993">
      <c r="L993" s="227"/>
      <c r="N993" s="228"/>
      <c r="R993" s="228"/>
      <c r="S993" s="229"/>
    </row>
    <row r="994">
      <c r="L994" s="227"/>
      <c r="N994" s="228"/>
      <c r="R994" s="228"/>
      <c r="S994" s="229"/>
    </row>
    <row r="995">
      <c r="L995" s="227"/>
      <c r="N995" s="228"/>
      <c r="R995" s="228"/>
      <c r="S995" s="229"/>
    </row>
    <row r="996">
      <c r="L996" s="227"/>
      <c r="N996" s="228"/>
      <c r="R996" s="228"/>
      <c r="S996" s="229"/>
    </row>
    <row r="997">
      <c r="L997" s="227"/>
      <c r="N997" s="228"/>
      <c r="R997" s="228"/>
      <c r="S997" s="229"/>
    </row>
    <row r="998">
      <c r="L998" s="227"/>
      <c r="N998" s="228"/>
      <c r="R998" s="228"/>
      <c r="S998" s="229"/>
    </row>
    <row r="999">
      <c r="L999" s="227"/>
      <c r="N999" s="228"/>
      <c r="R999" s="228"/>
      <c r="S999" s="229"/>
    </row>
    <row r="1000">
      <c r="L1000" s="227"/>
      <c r="N1000" s="228"/>
      <c r="R1000" s="228"/>
      <c r="S1000" s="229"/>
    </row>
  </sheetData>
  <mergeCells count="21">
    <mergeCell ref="A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N6"/>
    <mergeCell ref="AO6:AQ6"/>
    <mergeCell ref="A17:B17"/>
    <mergeCell ref="A29:B29"/>
    <mergeCell ref="A31:B31"/>
    <mergeCell ref="A1:AQ1"/>
    <mergeCell ref="A2:AQ2"/>
    <mergeCell ref="A20:AQ20"/>
    <mergeCell ref="A30:AQ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5F90"/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3.88"/>
    <col customWidth="1" min="3" max="3" width="3.88"/>
    <col customWidth="1" min="4" max="4" width="26.38"/>
    <col customWidth="1" min="5" max="5" width="40.13"/>
    <col customWidth="1" min="6" max="7" width="15.13"/>
  </cols>
  <sheetData>
    <row r="1">
      <c r="A1" s="2" t="s">
        <v>0</v>
      </c>
    </row>
    <row r="2">
      <c r="A2" s="6" t="s">
        <v>4</v>
      </c>
    </row>
    <row r="4">
      <c r="A4" s="15" t="s">
        <v>8</v>
      </c>
      <c r="B4" s="17"/>
      <c r="D4" s="15" t="s">
        <v>17</v>
      </c>
      <c r="E4" s="20"/>
      <c r="F4" s="20"/>
      <c r="G4" s="17"/>
    </row>
    <row r="5">
      <c r="A5" s="23" t="s">
        <v>28</v>
      </c>
      <c r="B5" s="27" t="s">
        <v>41</v>
      </c>
      <c r="D5" s="29" t="s">
        <v>42</v>
      </c>
      <c r="E5" s="31"/>
      <c r="F5" s="31"/>
      <c r="G5" s="32"/>
    </row>
    <row r="6">
      <c r="A6" s="34" t="s">
        <v>45</v>
      </c>
      <c r="B6" s="35">
        <v>31515.0</v>
      </c>
      <c r="D6" s="23" t="s">
        <v>47</v>
      </c>
      <c r="E6" s="38" t="s">
        <v>48</v>
      </c>
      <c r="F6" s="38" t="s">
        <v>41</v>
      </c>
      <c r="G6" s="27" t="s">
        <v>50</v>
      </c>
    </row>
    <row r="7">
      <c r="A7" s="34" t="s">
        <v>51</v>
      </c>
      <c r="B7" s="35">
        <v>22450.0</v>
      </c>
      <c r="D7" s="34" t="s">
        <v>45</v>
      </c>
      <c r="E7" s="40" t="s">
        <v>53</v>
      </c>
      <c r="F7" s="42">
        <v>31515.0</v>
      </c>
      <c r="G7" s="48">
        <f>F7</f>
        <v>31515</v>
      </c>
    </row>
    <row r="8">
      <c r="A8" s="34" t="s">
        <v>54</v>
      </c>
      <c r="B8" s="35">
        <v>-22450.0</v>
      </c>
      <c r="D8" s="34" t="s">
        <v>51</v>
      </c>
      <c r="E8" s="40" t="s">
        <v>55</v>
      </c>
      <c r="F8" s="42">
        <v>22450.0</v>
      </c>
      <c r="G8" s="48">
        <f t="shared" ref="G8:G13" si="1">G7+F8</f>
        <v>53965</v>
      </c>
    </row>
    <row r="9">
      <c r="A9" s="34" t="s">
        <v>56</v>
      </c>
      <c r="B9" s="35">
        <v>-1750.0</v>
      </c>
      <c r="D9" s="34" t="s">
        <v>57</v>
      </c>
      <c r="E9" s="40" t="s">
        <v>58</v>
      </c>
      <c r="F9" s="42">
        <v>-22450.0</v>
      </c>
      <c r="G9" s="48">
        <f t="shared" si="1"/>
        <v>31515</v>
      </c>
    </row>
    <row r="10">
      <c r="A10" s="34" t="s">
        <v>59</v>
      </c>
      <c r="B10" s="35">
        <v>-4600.0</v>
      </c>
      <c r="D10" s="34" t="s">
        <v>57</v>
      </c>
      <c r="E10" s="40" t="s">
        <v>56</v>
      </c>
      <c r="F10" s="42">
        <v>-1750.0</v>
      </c>
      <c r="G10" s="48">
        <f t="shared" si="1"/>
        <v>29765</v>
      </c>
    </row>
    <row r="11">
      <c r="A11" s="34" t="s">
        <v>60</v>
      </c>
      <c r="B11" s="35">
        <v>22450.0</v>
      </c>
      <c r="D11" s="34" t="s">
        <v>57</v>
      </c>
      <c r="E11" s="40" t="s">
        <v>61</v>
      </c>
      <c r="F11" s="42">
        <v>-4600.0</v>
      </c>
      <c r="G11" s="48">
        <f t="shared" si="1"/>
        <v>25165</v>
      </c>
    </row>
    <row r="12">
      <c r="A12" s="34" t="s">
        <v>62</v>
      </c>
      <c r="B12" s="35">
        <v>26600.0</v>
      </c>
      <c r="D12" s="34" t="s">
        <v>60</v>
      </c>
      <c r="E12" s="40" t="s">
        <v>63</v>
      </c>
      <c r="F12" s="42">
        <v>22450.0</v>
      </c>
      <c r="G12" s="48">
        <f t="shared" si="1"/>
        <v>47615</v>
      </c>
    </row>
    <row r="13">
      <c r="A13" s="55" t="s">
        <v>37</v>
      </c>
      <c r="B13" s="56">
        <f>SUM(B6:B12)</f>
        <v>74215</v>
      </c>
      <c r="D13" s="34" t="s">
        <v>62</v>
      </c>
      <c r="E13" s="40" t="s">
        <v>65</v>
      </c>
      <c r="F13" s="42">
        <v>26600.0</v>
      </c>
      <c r="G13" s="48">
        <f t="shared" si="1"/>
        <v>74215</v>
      </c>
    </row>
    <row r="14">
      <c r="D14" s="55" t="s">
        <v>66</v>
      </c>
      <c r="E14" s="58"/>
      <c r="F14" s="60">
        <f>SUM(F7:F13)</f>
        <v>74215</v>
      </c>
      <c r="G14" s="56">
        <f>G13</f>
        <v>74215</v>
      </c>
    </row>
  </sheetData>
  <mergeCells count="5">
    <mergeCell ref="A1:G1"/>
    <mergeCell ref="A2:G2"/>
    <mergeCell ref="A4:B4"/>
    <mergeCell ref="D4:G4"/>
    <mergeCell ref="D5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5F90"/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7.25"/>
  </cols>
  <sheetData>
    <row r="1">
      <c r="A1" s="1"/>
      <c r="B1" s="1"/>
    </row>
    <row r="2">
      <c r="A2" s="4" t="s">
        <v>2</v>
      </c>
    </row>
    <row r="3">
      <c r="A3" s="5" t="s">
        <v>6</v>
      </c>
      <c r="B3" s="10">
        <v>100000.0</v>
      </c>
    </row>
    <row r="4">
      <c r="A4" s="12" t="s">
        <v>10</v>
      </c>
      <c r="B4" s="10">
        <v>-8700.0</v>
      </c>
    </row>
    <row r="5">
      <c r="A5" s="12" t="s">
        <v>15</v>
      </c>
      <c r="B5" s="10">
        <v>-10935.0</v>
      </c>
    </row>
    <row r="6">
      <c r="A6" s="12" t="s">
        <v>16</v>
      </c>
      <c r="B6" s="10">
        <v>-5300.0</v>
      </c>
    </row>
    <row r="7">
      <c r="A7" s="12" t="s">
        <v>19</v>
      </c>
      <c r="B7" s="10">
        <v>-10000.0</v>
      </c>
    </row>
    <row r="8">
      <c r="A8" s="12" t="s">
        <v>22</v>
      </c>
      <c r="B8" s="10">
        <v>-5000.0</v>
      </c>
    </row>
    <row r="9">
      <c r="A9" s="12" t="s">
        <v>19</v>
      </c>
      <c r="B9" s="10">
        <v>-12000.0</v>
      </c>
    </row>
    <row r="10">
      <c r="A10" s="12" t="s">
        <v>25</v>
      </c>
      <c r="B10" s="21">
        <v>-4000.0</v>
      </c>
    </row>
    <row r="11">
      <c r="A11" s="22" t="s">
        <v>30</v>
      </c>
      <c r="B11" s="10">
        <v>-6350.0</v>
      </c>
    </row>
    <row r="12">
      <c r="A12" s="12" t="s">
        <v>19</v>
      </c>
      <c r="B12" s="10">
        <v>-8000.0</v>
      </c>
    </row>
    <row r="13">
      <c r="A13" s="5" t="s">
        <v>34</v>
      </c>
      <c r="B13" s="10">
        <v>-8000.0</v>
      </c>
    </row>
    <row r="14">
      <c r="A14" s="12" t="s">
        <v>19</v>
      </c>
      <c r="B14" s="10">
        <v>-10000.0</v>
      </c>
    </row>
    <row r="15">
      <c r="A15" s="1"/>
      <c r="B15" s="1"/>
    </row>
    <row r="16">
      <c r="A16" s="5" t="s">
        <v>39</v>
      </c>
      <c r="B16" s="36">
        <f>sum(B3:B15)</f>
        <v>11715</v>
      </c>
    </row>
    <row r="17">
      <c r="A17" s="1"/>
      <c r="B17" s="1"/>
    </row>
  </sheetData>
  <mergeCells count="1"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5F9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5.25"/>
  </cols>
  <sheetData>
    <row r="1">
      <c r="A1" s="1"/>
      <c r="B1" s="1"/>
      <c r="C1" s="1"/>
    </row>
    <row r="2">
      <c r="A2" s="1"/>
      <c r="B2" s="3" t="s">
        <v>1</v>
      </c>
    </row>
    <row r="3">
      <c r="A3" s="1"/>
      <c r="B3" s="7" t="s">
        <v>5</v>
      </c>
      <c r="C3" s="9">
        <v>2000.0</v>
      </c>
    </row>
    <row r="4">
      <c r="A4" s="1"/>
      <c r="B4" s="7" t="s">
        <v>7</v>
      </c>
      <c r="C4" s="11">
        <v>70.0</v>
      </c>
    </row>
    <row r="5">
      <c r="A5" s="1"/>
      <c r="B5" s="7" t="s">
        <v>9</v>
      </c>
      <c r="C5" s="11">
        <v>530.0</v>
      </c>
    </row>
    <row r="6">
      <c r="A6" s="1"/>
      <c r="B6" s="7" t="s">
        <v>11</v>
      </c>
      <c r="C6" s="14"/>
    </row>
    <row r="7">
      <c r="A7" s="1"/>
      <c r="B7" s="7" t="s">
        <v>12</v>
      </c>
      <c r="C7" s="14"/>
    </row>
    <row r="8">
      <c r="A8" s="1"/>
      <c r="B8" s="16" t="s">
        <v>14</v>
      </c>
      <c r="C8" s="14"/>
    </row>
    <row r="9">
      <c r="A9" s="1"/>
      <c r="B9" s="7" t="s">
        <v>18</v>
      </c>
      <c r="C9" s="11">
        <v>65.0</v>
      </c>
    </row>
    <row r="10">
      <c r="A10" s="1"/>
      <c r="B10" s="7" t="s">
        <v>20</v>
      </c>
      <c r="C10" s="14"/>
    </row>
    <row r="11">
      <c r="A11" s="1"/>
      <c r="B11" s="7" t="s">
        <v>21</v>
      </c>
      <c r="C11" s="14"/>
    </row>
    <row r="12">
      <c r="A12" s="1"/>
      <c r="B12" s="7" t="s">
        <v>23</v>
      </c>
      <c r="C12" s="14"/>
    </row>
    <row r="13">
      <c r="A13" s="1"/>
      <c r="B13" s="7" t="s">
        <v>24</v>
      </c>
      <c r="C13" s="14"/>
    </row>
    <row r="14">
      <c r="A14" s="1"/>
      <c r="B14" s="7" t="s">
        <v>26</v>
      </c>
      <c r="C14" s="14"/>
    </row>
    <row r="15">
      <c r="A15" s="1"/>
      <c r="B15" s="7" t="s">
        <v>27</v>
      </c>
      <c r="C15" s="14"/>
    </row>
    <row r="16">
      <c r="A16" s="1"/>
      <c r="B16" s="7" t="s">
        <v>29</v>
      </c>
      <c r="C16" s="14"/>
    </row>
    <row r="17">
      <c r="A17" s="1"/>
      <c r="B17" s="7" t="s">
        <v>31</v>
      </c>
      <c r="C17" s="14"/>
    </row>
    <row r="18">
      <c r="A18" s="1"/>
      <c r="B18" s="16" t="s">
        <v>32</v>
      </c>
      <c r="C18" s="14"/>
    </row>
    <row r="19">
      <c r="A19" s="1"/>
      <c r="B19" s="16" t="s">
        <v>33</v>
      </c>
      <c r="C19" s="14"/>
    </row>
    <row r="20">
      <c r="A20" s="1"/>
      <c r="B20" s="16" t="s">
        <v>35</v>
      </c>
      <c r="C20" s="14"/>
    </row>
    <row r="21">
      <c r="A21" s="1"/>
      <c r="B21" s="16" t="s">
        <v>36</v>
      </c>
      <c r="C21" s="14"/>
    </row>
    <row r="22">
      <c r="A22" s="1"/>
      <c r="B22" s="24" t="s">
        <v>37</v>
      </c>
      <c r="C22" s="9">
        <v>3100.0</v>
      </c>
    </row>
    <row r="23">
      <c r="A23" s="1"/>
      <c r="B23" s="1"/>
      <c r="C23" s="1"/>
    </row>
    <row r="24">
      <c r="A24" s="1"/>
      <c r="B24" s="1"/>
      <c r="C24" s="26"/>
    </row>
  </sheetData>
  <mergeCells count="1">
    <mergeCell ref="B2:C2"/>
  </mergeCells>
  <drawing r:id="rId1"/>
</worksheet>
</file>